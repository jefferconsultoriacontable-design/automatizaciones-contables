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xr:revisionPtr revIDLastSave="0" documentId="13_ncr:1_{9AE4AE16-04CB-40BB-A7C6-B36C287219B7}" xr6:coauthVersionLast="47" xr6:coauthVersionMax="47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Control General" sheetId="1" r:id="rId1"/>
    <sheet name="Checklist Detallado" sheetId="2" r:id="rId2"/>
    <sheet name="Impuestos" sheetId="3" r:id="rId3"/>
    <sheet name="Conciliaciones" sheetId="4" r:id="rId4"/>
    <sheet name="Pendientes y Riesgos" sheetId="5" r:id="rId5"/>
    <sheet name="Sistemas y Accesos" sheetId="6" r:id="rId6"/>
    <sheet name="Acta Fina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F22" i="1"/>
  <c r="E22" i="1"/>
  <c r="D22" i="1"/>
  <c r="C22" i="1"/>
  <c r="H22" i="1" s="1"/>
  <c r="G21" i="1"/>
  <c r="F21" i="1"/>
  <c r="E21" i="1"/>
  <c r="D21" i="1"/>
  <c r="C21" i="1"/>
  <c r="H21" i="1" s="1"/>
  <c r="G20" i="1"/>
  <c r="F20" i="1"/>
  <c r="E20" i="1"/>
  <c r="D20" i="1"/>
  <c r="C20" i="1"/>
  <c r="H20" i="1" s="1"/>
  <c r="G19" i="1"/>
  <c r="F19" i="1"/>
  <c r="E19" i="1"/>
  <c r="D19" i="1"/>
  <c r="C19" i="1"/>
  <c r="H19" i="1" s="1"/>
  <c r="G18" i="1"/>
  <c r="F18" i="1"/>
  <c r="E18" i="1"/>
  <c r="D18" i="1"/>
  <c r="C18" i="1"/>
  <c r="H18" i="1" s="1"/>
  <c r="G17" i="1"/>
  <c r="F17" i="1"/>
  <c r="E17" i="1"/>
  <c r="D17" i="1"/>
  <c r="C17" i="1"/>
  <c r="H17" i="1" s="1"/>
  <c r="G16" i="1"/>
  <c r="F16" i="1"/>
  <c r="E16" i="1"/>
  <c r="D16" i="1"/>
  <c r="C16" i="1"/>
  <c r="H16" i="1" s="1"/>
  <c r="G15" i="1"/>
  <c r="F15" i="1"/>
  <c r="E15" i="1"/>
  <c r="D15" i="1"/>
  <c r="C15" i="1"/>
  <c r="H15" i="1" s="1"/>
  <c r="G14" i="1"/>
  <c r="F14" i="1"/>
  <c r="E14" i="1"/>
  <c r="D14" i="1"/>
  <c r="C14" i="1"/>
  <c r="H14" i="1" s="1"/>
  <c r="G13" i="1"/>
  <c r="F13" i="1"/>
  <c r="E13" i="1"/>
  <c r="D13" i="1"/>
  <c r="C13" i="1"/>
  <c r="H13" i="1" s="1"/>
  <c r="G12" i="1"/>
  <c r="F12" i="1"/>
  <c r="E12" i="1"/>
  <c r="D12" i="1"/>
  <c r="C12" i="1"/>
  <c r="H12" i="1" s="1"/>
  <c r="G11" i="1"/>
  <c r="F11" i="1"/>
  <c r="E11" i="1"/>
  <c r="D11" i="1"/>
  <c r="C11" i="1"/>
  <c r="H11" i="1" s="1"/>
</calcChain>
</file>

<file path=xl/sharedStrings.xml><?xml version="1.0" encoding="utf-8"?>
<sst xmlns="http://schemas.openxmlformats.org/spreadsheetml/2006/main" count="1890" uniqueCount="382">
  <si>
    <t>CHECKLIST PROFESIONAL DE EMPALME CONTABLE, TRIBUTARIO Y FINANCIERO</t>
  </si>
  <si>
    <t>Empresa</t>
  </si>
  <si>
    <t>[●]</t>
  </si>
  <si>
    <t>NIT</t>
  </si>
  <si>
    <t>Contador saliente / Firma</t>
  </si>
  <si>
    <t>Contador entrante</t>
  </si>
  <si>
    <t>Fecha de corte</t>
  </si>
  <si>
    <t>Fecha de empalme</t>
  </si>
  <si>
    <t>Área</t>
  </si>
  <si>
    <t>Total ítems</t>
  </si>
  <si>
    <t>Recibidos</t>
  </si>
  <si>
    <t>Recibidos con pendientes</t>
  </si>
  <si>
    <t>En revisión</t>
  </si>
  <si>
    <t>Pendientes</t>
  </si>
  <si>
    <t>No aplica</t>
  </si>
  <si>
    <t>% avance</t>
  </si>
  <si>
    <t>Observaciones</t>
  </si>
  <si>
    <t>Contabilidad</t>
  </si>
  <si>
    <t>Tesorería y bancos</t>
  </si>
  <si>
    <t>Cartera</t>
  </si>
  <si>
    <t>Cuentas por pagar</t>
  </si>
  <si>
    <t>Activos e inventarios</t>
  </si>
  <si>
    <t>Nómina y laboral</t>
  </si>
  <si>
    <t>Impuestos</t>
  </si>
  <si>
    <t>Facturación e ingresos</t>
  </si>
  <si>
    <t>NIIF y cierre</t>
  </si>
  <si>
    <t>Sistemas y tecnología</t>
  </si>
  <si>
    <t>Archivo histórico</t>
  </si>
  <si>
    <t>Legal/fiscalización/auditoría</t>
  </si>
  <si>
    <t>CHECKLIST DETALLADO DE EMPALME</t>
  </si>
  <si>
    <t>ID</t>
  </si>
  <si>
    <t>Información / Proceso</t>
  </si>
  <si>
    <t>Periodo / Corte</t>
  </si>
  <si>
    <t>Formato requerido</t>
  </si>
  <si>
    <t>Estado</t>
  </si>
  <si>
    <t>Revisado</t>
  </si>
  <si>
    <t>Responsable</t>
  </si>
  <si>
    <t>Fecha compromiso</t>
  </si>
  <si>
    <t>CO-001</t>
  </si>
  <si>
    <t>Balance de comprobación</t>
  </si>
  <si>
    <t>Excel/PDF</t>
  </si>
  <si>
    <t>PENDIENTE</t>
  </si>
  <si>
    <t>NO</t>
  </si>
  <si>
    <t>CO-002</t>
  </si>
  <si>
    <t>Libro mayor y auxiliares</t>
  </si>
  <si>
    <t>CO-003</t>
  </si>
  <si>
    <t>Comprobantes contables</t>
  </si>
  <si>
    <t>CO-004</t>
  </si>
  <si>
    <t>Causaciones y soportes</t>
  </si>
  <si>
    <t>CO-005</t>
  </si>
  <si>
    <t>Facturas de compra / documentos equivalentes</t>
  </si>
  <si>
    <t>CO-006</t>
  </si>
  <si>
    <t>Comprobantes de egreso y recibos de caja</t>
  </si>
  <si>
    <t>CO-007</t>
  </si>
  <si>
    <t>Conciliación de soportes vs registros</t>
  </si>
  <si>
    <t>CO-008</t>
  </si>
  <si>
    <t>Archivo contable y estructura documental</t>
  </si>
  <si>
    <t>CO-009</t>
  </si>
  <si>
    <t>Partidas antiguas sin depurar</t>
  </si>
  <si>
    <t>CO-010</t>
  </si>
  <si>
    <t>Cuentas por conciliar</t>
  </si>
  <si>
    <t>CO-011</t>
  </si>
  <si>
    <t>Cierres mensuales</t>
  </si>
  <si>
    <t>CO-012</t>
  </si>
  <si>
    <t>Ajustes contables pendientes</t>
  </si>
  <si>
    <t>CO-013</t>
  </si>
  <si>
    <t>Saldos de naturaleza inusual</t>
  </si>
  <si>
    <t>CO-014</t>
  </si>
  <si>
    <t>Documentos pendientes de contabilizar</t>
  </si>
  <si>
    <t>CO-015</t>
  </si>
  <si>
    <t>Políticas y procedimientos contables</t>
  </si>
  <si>
    <t>TE-016</t>
  </si>
  <si>
    <t>Arqueos de caja</t>
  </si>
  <si>
    <t>TE-017</t>
  </si>
  <si>
    <t>Relación de cuentas bancarias</t>
  </si>
  <si>
    <t>TE-018</t>
  </si>
  <si>
    <t>Extractos bancarios</t>
  </si>
  <si>
    <t>TE-019</t>
  </si>
  <si>
    <t>Conciliaciones bancarias</t>
  </si>
  <si>
    <t>TE-020</t>
  </si>
  <si>
    <t>Partidas conciliatorias pendientes</t>
  </si>
  <si>
    <t>TE-021</t>
  </si>
  <si>
    <t>Anticipos y fondos</t>
  </si>
  <si>
    <t>TE-022</t>
  </si>
  <si>
    <t>Créditos bancarios</t>
  </si>
  <si>
    <t>TE-023</t>
  </si>
  <si>
    <t>Soportes de pagos</t>
  </si>
  <si>
    <t>TE-024</t>
  </si>
  <si>
    <t>Transferencias/cheques pendientes</t>
  </si>
  <si>
    <t>TE-025</t>
  </si>
  <si>
    <t>Procedimientos de tesorería</t>
  </si>
  <si>
    <t>CA-026</t>
  </si>
  <si>
    <t>Cartera detallada por tercero</t>
  </si>
  <si>
    <t>CA-027</t>
  </si>
  <si>
    <t>Edades de cartera</t>
  </si>
  <si>
    <t>CA-028</t>
  </si>
  <si>
    <t>Cartera vencida</t>
  </si>
  <si>
    <t>CA-029</t>
  </si>
  <si>
    <t>Cartera de difícil cobro</t>
  </si>
  <si>
    <t>CA-030</t>
  </si>
  <si>
    <t>Deterioro/provisión y política</t>
  </si>
  <si>
    <t>CA-031</t>
  </si>
  <si>
    <t>Anticipos de clientes</t>
  </si>
  <si>
    <t>CA-032</t>
  </si>
  <si>
    <t>Saldos por conciliar</t>
  </si>
  <si>
    <t>CA-033</t>
  </si>
  <si>
    <t>Ingresos causados pendientes de facturar</t>
  </si>
  <si>
    <t>CA-034</t>
  </si>
  <si>
    <t>Acuerdos o compromisos de pago</t>
  </si>
  <si>
    <t>CU-035</t>
  </si>
  <si>
    <t>Relación por proveedor</t>
  </si>
  <si>
    <t>CU-036</t>
  </si>
  <si>
    <t>Edades de obligaciones</t>
  </si>
  <si>
    <t>CU-037</t>
  </si>
  <si>
    <t>Facturas pendientes de pago</t>
  </si>
  <si>
    <t>CU-038</t>
  </si>
  <si>
    <t>Anticipos a proveedores</t>
  </si>
  <si>
    <t>CU-039</t>
  </si>
  <si>
    <t>Obligaciones no soportadas</t>
  </si>
  <si>
    <t>CU-040</t>
  </si>
  <si>
    <t>Saldos antiguos por conciliar</t>
  </si>
  <si>
    <t>CU-041</t>
  </si>
  <si>
    <t>Recepción/aceptación de facturas electrónicas</t>
  </si>
  <si>
    <t>CU-042</t>
  </si>
  <si>
    <t>Proveedores con obligaciones vencidas</t>
  </si>
  <si>
    <t>AC-043</t>
  </si>
  <si>
    <t>Auxiliar de propiedad, planta y equipo</t>
  </si>
  <si>
    <t>AC-044</t>
  </si>
  <si>
    <t>Depreciación acumulada</t>
  </si>
  <si>
    <t>AC-045</t>
  </si>
  <si>
    <t>Vida útil y método</t>
  </si>
  <si>
    <t>AC-046</t>
  </si>
  <si>
    <t>Deterioro de activos</t>
  </si>
  <si>
    <t>AC-047</t>
  </si>
  <si>
    <t>Identificación física de activos</t>
  </si>
  <si>
    <t>AC-048</t>
  </si>
  <si>
    <t>Inventarios por proyecto</t>
  </si>
  <si>
    <t>AC-049</t>
  </si>
  <si>
    <t>Método de medición de inventarios</t>
  </si>
  <si>
    <t>AC-050</t>
  </si>
  <si>
    <t>Inventarios deteriorados/obsoletos</t>
  </si>
  <si>
    <t>AC-051</t>
  </si>
  <si>
    <t>Inventarios de baja rotación</t>
  </si>
  <si>
    <t>AC-052</t>
  </si>
  <si>
    <t>Conteos/inventarios físicos</t>
  </si>
  <si>
    <t>AC-053</t>
  </si>
  <si>
    <t>Inversiones: CDT/fiducias/acciones</t>
  </si>
  <si>
    <t>AC-054</t>
  </si>
  <si>
    <t>Soportes de inversiones</t>
  </si>
  <si>
    <t>NÓ-055</t>
  </si>
  <si>
    <t>Nómina del periodo</t>
  </si>
  <si>
    <t>NÓ-056</t>
  </si>
  <si>
    <t>Nómina electrónica</t>
  </si>
  <si>
    <t>NÓ-057</t>
  </si>
  <si>
    <t>Seguridad social</t>
  </si>
  <si>
    <t>NÓ-058</t>
  </si>
  <si>
    <t>Parafiscales</t>
  </si>
  <si>
    <t>NÓ-059</t>
  </si>
  <si>
    <t>Prestaciones sociales</t>
  </si>
  <si>
    <t>NÓ-060</t>
  </si>
  <si>
    <t>Provisiones laborales</t>
  </si>
  <si>
    <t>NÓ-061</t>
  </si>
  <si>
    <t>Liquidaciones pendientes</t>
  </si>
  <si>
    <t>NÓ-062</t>
  </si>
  <si>
    <t>Anticipos/descuentos a empleados</t>
  </si>
  <si>
    <t>NÓ-063</t>
  </si>
  <si>
    <t>Procesos laborales</t>
  </si>
  <si>
    <t>NÓ-064</t>
  </si>
  <si>
    <t>Conciliación nómina-contabilidad</t>
  </si>
  <si>
    <t>IM-065</t>
  </si>
  <si>
    <t>Declaraciones nacionales</t>
  </si>
  <si>
    <t>IM-066</t>
  </si>
  <si>
    <t>Retención en la fuente</t>
  </si>
  <si>
    <t>IM-067</t>
  </si>
  <si>
    <t>IVA (si aplica)</t>
  </si>
  <si>
    <t>IM-068</t>
  </si>
  <si>
    <t>Renta (si aplica)</t>
  </si>
  <si>
    <t>IM-069</t>
  </si>
  <si>
    <t>ICA</t>
  </si>
  <si>
    <t>IM-070</t>
  </si>
  <si>
    <t>ReteICA</t>
  </si>
  <si>
    <t>IM-071</t>
  </si>
  <si>
    <t>Información exógena nacional</t>
  </si>
  <si>
    <t>IM-072</t>
  </si>
  <si>
    <t>Información exógena municipal</t>
  </si>
  <si>
    <t>IM-073</t>
  </si>
  <si>
    <t>Conciliación fiscal</t>
  </si>
  <si>
    <t>IM-074</t>
  </si>
  <si>
    <t>Recibos oficiales de pago</t>
  </si>
  <si>
    <t>IM-075</t>
  </si>
  <si>
    <t>Saldos a favor</t>
  </si>
  <si>
    <t>IM-076</t>
  </si>
  <si>
    <t>Anticipos tributarios</t>
  </si>
  <si>
    <t>IM-077</t>
  </si>
  <si>
    <t>Obligaciones pendientes</t>
  </si>
  <si>
    <t>IM-078</t>
  </si>
  <si>
    <t>Requerimientos DIAN</t>
  </si>
  <si>
    <t>IM-079</t>
  </si>
  <si>
    <t>Requerimientos municipales</t>
  </si>
  <si>
    <t>IM-080</t>
  </si>
  <si>
    <t>Procesos de fiscalización</t>
  </si>
  <si>
    <t>IM-081</t>
  </si>
  <si>
    <t>Acuerdos de pago</t>
  </si>
  <si>
    <t>IM-082</t>
  </si>
  <si>
    <t>Calendario tributario</t>
  </si>
  <si>
    <t>FA-083</t>
  </si>
  <si>
    <t>Facturación electrónica</t>
  </si>
  <si>
    <t>FA-084</t>
  </si>
  <si>
    <t>Notas crédito</t>
  </si>
  <si>
    <t>FA-085</t>
  </si>
  <si>
    <t>Notas débito</t>
  </si>
  <si>
    <t>FA-086</t>
  </si>
  <si>
    <t>Documentos equivalentes (si aplica)</t>
  </si>
  <si>
    <t>FA-087</t>
  </si>
  <si>
    <t>Ingresos pendientes de facturación</t>
  </si>
  <si>
    <t>FA-088</t>
  </si>
  <si>
    <t>Conciliación facturación vs contabilidad</t>
  </si>
  <si>
    <t>FA-089</t>
  </si>
  <si>
    <t>Conciliación facturación vs cartera</t>
  </si>
  <si>
    <t>FA-090</t>
  </si>
  <si>
    <t>Ingresos por proyecto/operación</t>
  </si>
  <si>
    <t>FA-091</t>
  </si>
  <si>
    <t>Ingresos por municipio (si aplica)</t>
  </si>
  <si>
    <t>NI-092</t>
  </si>
  <si>
    <t>Manual de políticas contables</t>
  </si>
  <si>
    <t>NI-093</t>
  </si>
  <si>
    <t>Estados financieros</t>
  </si>
  <si>
    <t>NI-094</t>
  </si>
  <si>
    <t>Notas a los estados financieros</t>
  </si>
  <si>
    <t>NI-095</t>
  </si>
  <si>
    <t>Conciliaciones de saldos relevantes</t>
  </si>
  <si>
    <t>NI-096</t>
  </si>
  <si>
    <t>Deterioro de activos/cartera</t>
  </si>
  <si>
    <t>NI-097</t>
  </si>
  <si>
    <t>Depreciaciones</t>
  </si>
  <si>
    <t>NI-098</t>
  </si>
  <si>
    <t>Reconocimiento de ingresos</t>
  </si>
  <si>
    <t>NI-099</t>
  </si>
  <si>
    <t>Inventarios</t>
  </si>
  <si>
    <t>NI-100</t>
  </si>
  <si>
    <t>Instrumentos financieros</t>
  </si>
  <si>
    <t>NI-101</t>
  </si>
  <si>
    <t>Ajustes de cierre pendientes</t>
  </si>
  <si>
    <t>SI-102</t>
  </si>
  <si>
    <t>Software contable</t>
  </si>
  <si>
    <t>SI-103</t>
  </si>
  <si>
    <t>SI-104</t>
  </si>
  <si>
    <t>Plataformas tributarias</t>
  </si>
  <si>
    <t>SI-105</t>
  </si>
  <si>
    <t>Usuarios y perfiles</t>
  </si>
  <si>
    <t>SI-106</t>
  </si>
  <si>
    <t>Bases de datos</t>
  </si>
  <si>
    <t>SI-107</t>
  </si>
  <si>
    <t>Copias de seguridad</t>
  </si>
  <si>
    <t>SI-108</t>
  </si>
  <si>
    <t>Carpetas digitales</t>
  </si>
  <si>
    <t>SI-109</t>
  </si>
  <si>
    <t>Integraciones</t>
  </si>
  <si>
    <t>SI-110</t>
  </si>
  <si>
    <t>Macros/automatizaciones</t>
  </si>
  <si>
    <t>SI-111</t>
  </si>
  <si>
    <t>Procedimientos documentados</t>
  </si>
  <si>
    <t>AR-112</t>
  </si>
  <si>
    <t>Declaraciones anteriores</t>
  </si>
  <si>
    <t>AR-113</t>
  </si>
  <si>
    <t>Información exógena histórica</t>
  </si>
  <si>
    <t>AR-114</t>
  </si>
  <si>
    <t>Estados financieros históricos</t>
  </si>
  <si>
    <t>AR-115</t>
  </si>
  <si>
    <t>Conciliaciones fiscales</t>
  </si>
  <si>
    <t>AR-116</t>
  </si>
  <si>
    <t>Informes de auditoría</t>
  </si>
  <si>
    <t>AR-117</t>
  </si>
  <si>
    <t>Revisoría fiscal</t>
  </si>
  <si>
    <t>AR-118</t>
  </si>
  <si>
    <t>Requerimientos de entidades</t>
  </si>
  <si>
    <t>AR-119</t>
  </si>
  <si>
    <t>Soportes relevantes</t>
  </si>
  <si>
    <t>LE-120</t>
  </si>
  <si>
    <t>LE-121</t>
  </si>
  <si>
    <t>LE-122</t>
  </si>
  <si>
    <t>LE-123</t>
  </si>
  <si>
    <t>Procesos judiciales relevantes</t>
  </si>
  <si>
    <t>LE-124</t>
  </si>
  <si>
    <t>Auditorías externas</t>
  </si>
  <si>
    <t>LE-125</t>
  </si>
  <si>
    <t>Hallazgos pendientes</t>
  </si>
  <si>
    <t>LE-126</t>
  </si>
  <si>
    <t>Planes de acción</t>
  </si>
  <si>
    <t>LE-127</t>
  </si>
  <si>
    <t>Contratos o asuntos con impacto contable</t>
  </si>
  <si>
    <t>MATRIZ DE OBLIGACIONES TRIBUTARIAS</t>
  </si>
  <si>
    <t>Impuesto / obligación</t>
  </si>
  <si>
    <t>Periodo</t>
  </si>
  <si>
    <t>Fecha vencimiento</t>
  </si>
  <si>
    <t>Fecha presentación</t>
  </si>
  <si>
    <t>Fecha pago</t>
  </si>
  <si>
    <t>Valor</t>
  </si>
  <si>
    <t>Soporte declaración</t>
  </si>
  <si>
    <t>Soporte pago</t>
  </si>
  <si>
    <t>MATRIZ DE CONCILIACIONES Y PARTIDAS PENDIENTES</t>
  </si>
  <si>
    <t>Cuenta / concepto</t>
  </si>
  <si>
    <t>Saldo contable</t>
  </si>
  <si>
    <t>Saldo auxiliar / soporte</t>
  </si>
  <si>
    <t>Diferencia</t>
  </si>
  <si>
    <t>CON-001</t>
  </si>
  <si>
    <t>CON-002</t>
  </si>
  <si>
    <t>CON-003</t>
  </si>
  <si>
    <t>CON-004</t>
  </si>
  <si>
    <t>CON-005</t>
  </si>
  <si>
    <t>CON-006</t>
  </si>
  <si>
    <t>CON-007</t>
  </si>
  <si>
    <t>CON-008</t>
  </si>
  <si>
    <t>CON-009</t>
  </si>
  <si>
    <t>CON-010</t>
  </si>
  <si>
    <t>CON-011</t>
  </si>
  <si>
    <t>CON-012</t>
  </si>
  <si>
    <t>CON-013</t>
  </si>
  <si>
    <t>CON-014</t>
  </si>
  <si>
    <t>CON-015</t>
  </si>
  <si>
    <t>CON-016</t>
  </si>
  <si>
    <t>CON-017</t>
  </si>
  <si>
    <t>CON-018</t>
  </si>
  <si>
    <t>CON-019</t>
  </si>
  <si>
    <t>CON-020</t>
  </si>
  <si>
    <t>MATRIZ DE PENDIENTES, HALLAZGOS Y RIESGOS</t>
  </si>
  <si>
    <t>Hallazgo / pendiente</t>
  </si>
  <si>
    <t>Riesgo</t>
  </si>
  <si>
    <t>Prioridad</t>
  </si>
  <si>
    <t>Acción requerida</t>
  </si>
  <si>
    <t>Evidencia / soporte</t>
  </si>
  <si>
    <t>R-001</t>
  </si>
  <si>
    <t>MEDIA</t>
  </si>
  <si>
    <t>ABIERTO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</si>
  <si>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</si>
  <si>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</si>
  <si>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</si>
  <si>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</si>
  <si>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</si>
  <si>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</si>
  <si>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</si>
  <si>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</si>
  <si>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</si>
  <si>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</si>
  <si>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</si>
  <si>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</si>
  <si>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</si>
  <si>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</si>
  <si>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</si>
  <si>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</si>
  <si>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</si>
  <si>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</si>
  <si>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R-020</t>
  </si>
  <si>
    <t>SISTEMAS, ACCESOS Y TRANSFERENCIA SEGURA</t>
  </si>
  <si>
    <t>Sistema / plataforma</t>
  </si>
  <si>
    <t>Uso</t>
  </si>
  <si>
    <t>Usuario responsable</t>
  </si>
  <si>
    <t>Tipo de acceso requerido</t>
  </si>
  <si>
    <t>Entregado</t>
  </si>
  <si>
    <t>Fecha</t>
  </si>
  <si>
    <t>Mecanismo seguro de transferencia</t>
  </si>
  <si>
    <t>Responsable entrega</t>
  </si>
  <si>
    <t>ACTA DE ENTREGA Y RECEPCIÓN DE EMPALME CONTABLE</t>
  </si>
  <si>
    <t>Lugar</t>
  </si>
  <si>
    <t>Contador / firma saliente</t>
  </si>
  <si>
    <t>Periodo objeto del empalme</t>
  </si>
  <si>
    <t>Fecha de corte de información</t>
  </si>
  <si>
    <t>1. DECLARACIÓN DE ENTREGA</t>
  </si>
  <si>
    <t>Se deja constancia de la entrega de la información relacionada en el checklist y matrices anexas, de acuerdo con el alcance y fecha de corte definidos.</t>
  </si>
  <si>
    <t>2. INFORMACIÓN PENDIENTE</t>
  </si>
  <si>
    <t>Relacionar documentos, procesos, conciliaciones, obligaciones o asuntos que queden pendientes de entrega o validación.</t>
  </si>
  <si>
    <t>3. HALLAZGOS Y OBSERVACIONES</t>
  </si>
  <si>
    <t>Registrar los asuntos identificados durante el proceso de empalme que requieran seguimiento.</t>
  </si>
  <si>
    <t>4. COMPROMISOS</t>
  </si>
  <si>
    <t>Indicar responsable y fecha de atención de cada pendiente.</t>
  </si>
  <si>
    <t>5. ALCANCE DE LA RECEPCIÓN</t>
  </si>
  <si>
    <t>La recepción documental para efectos del empalme no constituye, por sí misma, certificación sobre la razonabilidad, integridad o exactitud de los saldos o información recibida. La información quedará sujeta a las verificaciones y procedimientos que correspondan dentro del alcance y responsabilidades del nuevo cargo.</t>
  </si>
  <si>
    <t>FIRMAS</t>
  </si>
  <si>
    <t>Representante de la empresa</t>
  </si>
  <si>
    <t>Nombre: __________________________</t>
  </si>
  <si>
    <t>Firma: ____________________________</t>
  </si>
  <si>
    <t>company service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</si>
</sst>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17365D"/>
      <name val="Calibri"/>
    </font>
    <font>
      <b/>
      <sz val="12"/>
      <color rgb="FF17365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5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/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2"/>
  <sheetViews>
    <sheetView showGridLines="0" workbookViewId="0">
      <pane ySplit="10" topLeftCell="A20" activePane="bottomLeft" state="frozen"/>
      <selection pane="bottomLeft" activeCell="B4" sqref="B4"/>
    </sheetView>
  </sheetViews>
  <sheetFormatPr baseColWidth="10" defaultColWidth="9.140625" defaultRowHeight="15" x14ac:dyDescent="0.25"/>
  <cols>
    <col min="1" max="1" width="30" customWidth="1"/>
    <col min="2" max="2" width="19" bestFit="1" customWidth="1"/>
    <col min="3" max="3" width="15" customWidth="1"/>
    <col min="4" max="4" width="24" customWidth="1"/>
    <col min="5" max="5" width="18" customWidth="1"/>
    <col min="6" max="7" width="15" customWidth="1"/>
    <col min="8" max="8" width="14" customWidth="1"/>
    <col min="9" max="9" width="40" customWidth="1"/>
  </cols>
  <sheetData>
    <row r="1" spans="1:9" ht="30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</row>
    <row r="3" spans="1:9" x14ac:dyDescent="0.25">
      <c r="A3" s="1" t="s">
        <v>1</v>
      </c>
      <c r="B3" s="2" t="s">
        <v>381</v>
      </c>
    </row>
    <row r="4" spans="1:9" x14ac:dyDescent="0.25">
      <c r="A4" s="1" t="s">
        <v>3</v>
      </c>
      <c r="B4" s="2" t="s">
        <v>2</v>
      </c>
    </row>
    <row r="5" spans="1:9" x14ac:dyDescent="0.25">
      <c r="A5" s="1" t="s">
        <v>4</v>
      </c>
      <c r="B5" s="2" t="s">
        <v>2</v>
      </c>
    </row>
    <row r="6" spans="1:9" x14ac:dyDescent="0.25">
      <c r="A6" s="1" t="s">
        <v>5</v>
      </c>
      <c r="B6" s="2" t="s">
        <v>2</v>
      </c>
    </row>
    <row r="7" spans="1:9" x14ac:dyDescent="0.25">
      <c r="A7" s="1" t="s">
        <v>6</v>
      </c>
      <c r="B7" s="2" t="s">
        <v>2</v>
      </c>
    </row>
    <row r="8" spans="1:9" x14ac:dyDescent="0.25">
      <c r="A8" s="1" t="s">
        <v>7</v>
      </c>
      <c r="B8" s="2" t="s">
        <v>2</v>
      </c>
    </row>
    <row r="10" spans="1:9" ht="30" customHeight="1" x14ac:dyDescent="0.25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 t="s">
        <v>16</v>
      </c>
    </row>
    <row r="11" spans="1:9" x14ac:dyDescent="0.25">
      <c r="A11" s="4" t="s">
        <v>17</v>
      </c>
      <c r="B11" s="4">
        <v>15</v>
      </c>
      <c r="C11" s="4">
        <f>COUNTIFS('Checklist Detallado'!$B:$B,A11,'Checklist Detallado'!$F:$F,"RECIBIDO")</f>
        <v>0</v>
      </c>
      <c r="D11" s="4">
        <f>COUNTIFS('Checklist Detallado'!$B:$B,A11,'Checklist Detallado'!$F:$F,"RECIBIDO CON PENDIENTES")</f>
        <v>0</v>
      </c>
      <c r="E11" s="4">
        <f>COUNTIFS('Checklist Detallado'!$B:$B,A11,'Checklist Detallado'!$F:$F,"EN REVISIÓN")</f>
        <v>0</v>
      </c>
      <c r="F11" s="4">
        <f>COUNTIFS('Checklist Detallado'!$B:$B,A11,'Checklist Detallado'!$F:$F,"PENDIENTE")</f>
        <v>15</v>
      </c>
      <c r="G11" s="4">
        <f>COUNTIFS('Checklist Detallado'!$B:$B,A11,'Checklist Detallado'!$F:$F,"NO APLICA")</f>
        <v>0</v>
      </c>
      <c r="H11" s="5">
        <f t="shared" ref="H11:H22" si="0">IF(B11=0,0,(C11+D11)/B11)</f>
        <v>0</v>
      </c>
      <c r="I11" s="4"/>
    </row>
    <row r="12" spans="1:9" x14ac:dyDescent="0.25">
      <c r="A12" s="4" t="s">
        <v>18</v>
      </c>
      <c r="B12" s="4">
        <v>10</v>
      </c>
      <c r="C12" s="4">
        <f>COUNTIFS('Checklist Detallado'!$B:$B,A12,'Checklist Detallado'!$F:$F,"RECIBIDO")</f>
        <v>0</v>
      </c>
      <c r="D12" s="4">
        <f>COUNTIFS('Checklist Detallado'!$B:$B,A12,'Checklist Detallado'!$F:$F,"RECIBIDO CON PENDIENTES")</f>
        <v>0</v>
      </c>
      <c r="E12" s="4">
        <f>COUNTIFS('Checklist Detallado'!$B:$B,A12,'Checklist Detallado'!$F:$F,"EN REVISIÓN")</f>
        <v>0</v>
      </c>
      <c r="F12" s="4">
        <f>COUNTIFS('Checklist Detallado'!$B:$B,A12,'Checklist Detallado'!$F:$F,"PENDIENTE")</f>
        <v>10</v>
      </c>
      <c r="G12" s="4">
        <f>COUNTIFS('Checklist Detallado'!$B:$B,A12,'Checklist Detallado'!$F:$F,"NO APLICA")</f>
        <v>0</v>
      </c>
      <c r="H12" s="5">
        <f t="shared" si="0"/>
        <v>0</v>
      </c>
      <c r="I12" s="4"/>
    </row>
    <row r="13" spans="1:9" x14ac:dyDescent="0.25">
      <c r="A13" s="4" t="s">
        <v>19</v>
      </c>
      <c r="B13" s="4">
        <v>9</v>
      </c>
      <c r="C13" s="4">
        <f>COUNTIFS('Checklist Detallado'!$B:$B,A13,'Checklist Detallado'!$F:$F,"RECIBIDO")</f>
        <v>0</v>
      </c>
      <c r="D13" s="4">
        <f>COUNTIFS('Checklist Detallado'!$B:$B,A13,'Checklist Detallado'!$F:$F,"RECIBIDO CON PENDIENTES")</f>
        <v>0</v>
      </c>
      <c r="E13" s="4">
        <f>COUNTIFS('Checklist Detallado'!$B:$B,A13,'Checklist Detallado'!$F:$F,"EN REVISIÓN")</f>
        <v>0</v>
      </c>
      <c r="F13" s="4">
        <f>COUNTIFS('Checklist Detallado'!$B:$B,A13,'Checklist Detallado'!$F:$F,"PENDIENTE")</f>
        <v>9</v>
      </c>
      <c r="G13" s="4">
        <f>COUNTIFS('Checklist Detallado'!$B:$B,A13,'Checklist Detallado'!$F:$F,"NO APLICA")</f>
        <v>0</v>
      </c>
      <c r="H13" s="5">
        <f t="shared" si="0"/>
        <v>0</v>
      </c>
      <c r="I13" s="4"/>
    </row>
    <row r="14" spans="1:9" x14ac:dyDescent="0.25">
      <c r="A14" s="4" t="s">
        <v>20</v>
      </c>
      <c r="B14" s="4">
        <v>8</v>
      </c>
      <c r="C14" s="4">
        <f>COUNTIFS('Checklist Detallado'!$B:$B,A14,'Checklist Detallado'!$F:$F,"RECIBIDO")</f>
        <v>0</v>
      </c>
      <c r="D14" s="4">
        <f>COUNTIFS('Checklist Detallado'!$B:$B,A14,'Checklist Detallado'!$F:$F,"RECIBIDO CON PENDIENTES")</f>
        <v>0</v>
      </c>
      <c r="E14" s="4">
        <f>COUNTIFS('Checklist Detallado'!$B:$B,A14,'Checklist Detallado'!$F:$F,"EN REVISIÓN")</f>
        <v>0</v>
      </c>
      <c r="F14" s="4">
        <f>COUNTIFS('Checklist Detallado'!$B:$B,A14,'Checklist Detallado'!$F:$F,"PENDIENTE")</f>
        <v>8</v>
      </c>
      <c r="G14" s="4">
        <f>COUNTIFS('Checklist Detallado'!$B:$B,A14,'Checklist Detallado'!$F:$F,"NO APLICA")</f>
        <v>0</v>
      </c>
      <c r="H14" s="5">
        <f t="shared" si="0"/>
        <v>0</v>
      </c>
      <c r="I14" s="4"/>
    </row>
    <row r="15" spans="1:9" x14ac:dyDescent="0.25">
      <c r="A15" s="4" t="s">
        <v>21</v>
      </c>
      <c r="B15" s="4">
        <v>12</v>
      </c>
      <c r="C15" s="4">
        <f>COUNTIFS('Checklist Detallado'!$B:$B,A15,'Checklist Detallado'!$F:$F,"RECIBIDO")</f>
        <v>0</v>
      </c>
      <c r="D15" s="4">
        <f>COUNTIFS('Checklist Detallado'!$B:$B,A15,'Checklist Detallado'!$F:$F,"RECIBIDO CON PENDIENTES")</f>
        <v>0</v>
      </c>
      <c r="E15" s="4">
        <f>COUNTIFS('Checklist Detallado'!$B:$B,A15,'Checklist Detallado'!$F:$F,"EN REVISIÓN")</f>
        <v>0</v>
      </c>
      <c r="F15" s="4">
        <f>COUNTIFS('Checklist Detallado'!$B:$B,A15,'Checklist Detallado'!$F:$F,"PENDIENTE")</f>
        <v>12</v>
      </c>
      <c r="G15" s="4">
        <f>COUNTIFS('Checklist Detallado'!$B:$B,A15,'Checklist Detallado'!$F:$F,"NO APLICA")</f>
        <v>0</v>
      </c>
      <c r="H15" s="5">
        <f t="shared" si="0"/>
        <v>0</v>
      </c>
      <c r="I15" s="4"/>
    </row>
    <row r="16" spans="1:9" x14ac:dyDescent="0.25">
      <c r="A16" s="4" t="s">
        <v>22</v>
      </c>
      <c r="B16" s="4">
        <v>10</v>
      </c>
      <c r="C16" s="4">
        <f>COUNTIFS('Checklist Detallado'!$B:$B,A16,'Checklist Detallado'!$F:$F,"RECIBIDO")</f>
        <v>0</v>
      </c>
      <c r="D16" s="4">
        <f>COUNTIFS('Checklist Detallado'!$B:$B,A16,'Checklist Detallado'!$F:$F,"RECIBIDO CON PENDIENTES")</f>
        <v>0</v>
      </c>
      <c r="E16" s="4">
        <f>COUNTIFS('Checklist Detallado'!$B:$B,A16,'Checklist Detallado'!$F:$F,"EN REVISIÓN")</f>
        <v>0</v>
      </c>
      <c r="F16" s="4">
        <f>COUNTIFS('Checklist Detallado'!$B:$B,A16,'Checklist Detallado'!$F:$F,"PENDIENTE")</f>
        <v>10</v>
      </c>
      <c r="G16" s="4">
        <f>COUNTIFS('Checklist Detallado'!$B:$B,A16,'Checklist Detallado'!$F:$F,"NO APLICA")</f>
        <v>0</v>
      </c>
      <c r="H16" s="5">
        <f t="shared" si="0"/>
        <v>0</v>
      </c>
      <c r="I16" s="4"/>
    </row>
    <row r="17" spans="1:9" x14ac:dyDescent="0.25">
      <c r="A17" s="4" t="s">
        <v>23</v>
      </c>
      <c r="B17" s="4">
        <v>18</v>
      </c>
      <c r="C17" s="4">
        <f>COUNTIFS('Checklist Detallado'!$B:$B,A17,'Checklist Detallado'!$F:$F,"RECIBIDO")</f>
        <v>0</v>
      </c>
      <c r="D17" s="4">
        <f>COUNTIFS('Checklist Detallado'!$B:$B,A17,'Checklist Detallado'!$F:$F,"RECIBIDO CON PENDIENTES")</f>
        <v>0</v>
      </c>
      <c r="E17" s="4">
        <f>COUNTIFS('Checklist Detallado'!$B:$B,A17,'Checklist Detallado'!$F:$F,"EN REVISIÓN")</f>
        <v>0</v>
      </c>
      <c r="F17" s="4">
        <f>COUNTIFS('Checklist Detallado'!$B:$B,A17,'Checklist Detallado'!$F:$F,"PENDIENTE")</f>
        <v>18</v>
      </c>
      <c r="G17" s="4">
        <f>COUNTIFS('Checklist Detallado'!$B:$B,A17,'Checklist Detallado'!$F:$F,"NO APLICA")</f>
        <v>0</v>
      </c>
      <c r="H17" s="5">
        <f t="shared" si="0"/>
        <v>0</v>
      </c>
      <c r="I17" s="4"/>
    </row>
    <row r="18" spans="1:9" x14ac:dyDescent="0.25">
      <c r="A18" s="4" t="s">
        <v>24</v>
      </c>
      <c r="B18" s="4">
        <v>9</v>
      </c>
      <c r="C18" s="4">
        <f>COUNTIFS('Checklist Detallado'!$B:$B,A18,'Checklist Detallado'!$F:$F,"RECIBIDO")</f>
        <v>0</v>
      </c>
      <c r="D18" s="4">
        <f>COUNTIFS('Checklist Detallado'!$B:$B,A18,'Checklist Detallado'!$F:$F,"RECIBIDO CON PENDIENTES")</f>
        <v>0</v>
      </c>
      <c r="E18" s="4">
        <f>COUNTIFS('Checklist Detallado'!$B:$B,A18,'Checklist Detallado'!$F:$F,"EN REVISIÓN")</f>
        <v>0</v>
      </c>
      <c r="F18" s="4">
        <f>COUNTIFS('Checklist Detallado'!$B:$B,A18,'Checklist Detallado'!$F:$F,"PENDIENTE")</f>
        <v>9</v>
      </c>
      <c r="G18" s="4">
        <f>COUNTIFS('Checklist Detallado'!$B:$B,A18,'Checklist Detallado'!$F:$F,"NO APLICA")</f>
        <v>0</v>
      </c>
      <c r="H18" s="5">
        <f t="shared" si="0"/>
        <v>0</v>
      </c>
      <c r="I18" s="4"/>
    </row>
    <row r="19" spans="1:9" x14ac:dyDescent="0.25">
      <c r="A19" s="4" t="s">
        <v>25</v>
      </c>
      <c r="B19" s="4">
        <v>10</v>
      </c>
      <c r="C19" s="4">
        <f>COUNTIFS('Checklist Detallado'!$B:$B,A19,'Checklist Detallado'!$F:$F,"RECIBIDO")</f>
        <v>0</v>
      </c>
      <c r="D19" s="4">
        <f>COUNTIFS('Checklist Detallado'!$B:$B,A19,'Checklist Detallado'!$F:$F,"RECIBIDO CON PENDIENTES")</f>
        <v>0</v>
      </c>
      <c r="E19" s="4">
        <f>COUNTIFS('Checklist Detallado'!$B:$B,A19,'Checklist Detallado'!$F:$F,"EN REVISIÓN")</f>
        <v>0</v>
      </c>
      <c r="F19" s="4">
        <f>COUNTIFS('Checklist Detallado'!$B:$B,A19,'Checklist Detallado'!$F:$F,"PENDIENTE")</f>
        <v>10</v>
      </c>
      <c r="G19" s="4">
        <f>COUNTIFS('Checklist Detallado'!$B:$B,A19,'Checklist Detallado'!$F:$F,"NO APLICA")</f>
        <v>0</v>
      </c>
      <c r="H19" s="5">
        <f t="shared" si="0"/>
        <v>0</v>
      </c>
      <c r="I19" s="4"/>
    </row>
    <row r="20" spans="1:9" x14ac:dyDescent="0.25">
      <c r="A20" s="4" t="s">
        <v>26</v>
      </c>
      <c r="B20" s="4">
        <v>10</v>
      </c>
      <c r="C20" s="4">
        <f>COUNTIFS('Checklist Detallado'!$B:$B,A20,'Checklist Detallado'!$F:$F,"RECIBIDO")</f>
        <v>0</v>
      </c>
      <c r="D20" s="4">
        <f>COUNTIFS('Checklist Detallado'!$B:$B,A20,'Checklist Detallado'!$F:$F,"RECIBIDO CON PENDIENTES")</f>
        <v>0</v>
      </c>
      <c r="E20" s="4">
        <f>COUNTIFS('Checklist Detallado'!$B:$B,A20,'Checklist Detallado'!$F:$F,"EN REVISIÓN")</f>
        <v>0</v>
      </c>
      <c r="F20" s="4">
        <f>COUNTIFS('Checklist Detallado'!$B:$B,A20,'Checklist Detallado'!$F:$F,"PENDIENTE")</f>
        <v>10</v>
      </c>
      <c r="G20" s="4">
        <f>COUNTIFS('Checklist Detallado'!$B:$B,A20,'Checklist Detallado'!$F:$F,"NO APLICA")</f>
        <v>0</v>
      </c>
      <c r="H20" s="5">
        <f t="shared" si="0"/>
        <v>0</v>
      </c>
      <c r="I20" s="4"/>
    </row>
    <row r="21" spans="1:9" x14ac:dyDescent="0.25">
      <c r="A21" s="4" t="s">
        <v>27</v>
      </c>
      <c r="B21" s="4">
        <v>8</v>
      </c>
      <c r="C21" s="4">
        <f>COUNTIFS('Checklist Detallado'!$B:$B,A21,'Checklist Detallado'!$F:$F,"RECIBIDO")</f>
        <v>0</v>
      </c>
      <c r="D21" s="4">
        <f>COUNTIFS('Checklist Detallado'!$B:$B,A21,'Checklist Detallado'!$F:$F,"RECIBIDO CON PENDIENTES")</f>
        <v>0</v>
      </c>
      <c r="E21" s="4">
        <f>COUNTIFS('Checklist Detallado'!$B:$B,A21,'Checklist Detallado'!$F:$F,"EN REVISIÓN")</f>
        <v>0</v>
      </c>
      <c r="F21" s="4">
        <f>COUNTIFS('Checklist Detallado'!$B:$B,A21,'Checklist Detallado'!$F:$F,"PENDIENTE")</f>
        <v>8</v>
      </c>
      <c r="G21" s="4">
        <f>COUNTIFS('Checklist Detallado'!$B:$B,A21,'Checklist Detallado'!$F:$F,"NO APLICA")</f>
        <v>0</v>
      </c>
      <c r="H21" s="5">
        <f t="shared" si="0"/>
        <v>0</v>
      </c>
      <c r="I21" s="4"/>
    </row>
    <row r="22" spans="1:9" x14ac:dyDescent="0.25">
      <c r="A22" s="4" t="s">
        <v>28</v>
      </c>
      <c r="B22" s="4">
        <v>8</v>
      </c>
      <c r="C22" s="4">
        <f>COUNTIFS('Checklist Detallado'!$B:$B,A22,'Checklist Detallado'!$F:$F,"RECIBIDO")</f>
        <v>0</v>
      </c>
      <c r="D22" s="4">
        <f>COUNTIFS('Checklist Detallado'!$B:$B,A22,'Checklist Detallado'!$F:$F,"RECIBIDO CON PENDIENTES")</f>
        <v>0</v>
      </c>
      <c r="E22" s="4">
        <f>COUNTIFS('Checklist Detallado'!$B:$B,A22,'Checklist Detallado'!$F:$F,"EN REVISIÓN")</f>
        <v>0</v>
      </c>
      <c r="F22" s="4">
        <f>COUNTIFS('Checklist Detallado'!$B:$B,A22,'Checklist Detallado'!$F:$F,"PENDIENTE")</f>
        <v>8</v>
      </c>
      <c r="G22" s="4">
        <f>COUNTIFS('Checklist Detallado'!$B:$B,A22,'Checklist Detallado'!$F:$F,"NO APLICA")</f>
        <v>0</v>
      </c>
      <c r="H22" s="5">
        <f t="shared" si="0"/>
        <v>0</v>
      </c>
      <c r="I22" s="4"/>
    </row>
  </sheetData>
  <mergeCells count="1">
    <mergeCell ref="A1:I1"/>
  </mergeCells>
  <pageMargins left="0.3" right="0.3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0"/>
  <sheetViews>
    <sheetView showGridLines="0" workbookViewId="0">
      <pane ySplit="3" topLeftCell="A127" activePane="bottomLeft" state="frozen"/>
      <selection pane="bottomLeft" sqref="A1:J1"/>
    </sheetView>
  </sheetViews>
  <sheetFormatPr baseColWidth="10" defaultColWidth="9.140625" defaultRowHeight="15" x14ac:dyDescent="0.25"/>
  <cols>
    <col min="1" max="1" width="12" customWidth="1"/>
    <col min="2" max="2" width="28" customWidth="1"/>
    <col min="3" max="3" width="45" customWidth="1"/>
    <col min="4" max="4" width="18" customWidth="1"/>
    <col min="5" max="5" width="20" customWidth="1"/>
    <col min="6" max="6" width="26" customWidth="1"/>
    <col min="7" max="7" width="14" customWidth="1"/>
    <col min="8" max="8" width="22" customWidth="1"/>
    <col min="9" max="9" width="20" customWidth="1"/>
    <col min="10" max="10" width="40" customWidth="1"/>
  </cols>
  <sheetData>
    <row r="1" spans="1:10" ht="30" customHeight="1" x14ac:dyDescent="0.25">
      <c r="A1" s="8" t="s">
        <v>29</v>
      </c>
      <c r="B1" s="9"/>
      <c r="C1" s="9"/>
      <c r="D1" s="9"/>
      <c r="E1" s="9"/>
      <c r="F1" s="9"/>
      <c r="G1" s="9"/>
      <c r="H1" s="9"/>
      <c r="I1" s="9"/>
      <c r="J1" s="9"/>
    </row>
    <row r="3" spans="1:10" ht="30" customHeight="1" x14ac:dyDescent="0.25">
      <c r="A3" s="3" t="s">
        <v>30</v>
      </c>
      <c r="B3" s="3" t="s">
        <v>8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16</v>
      </c>
    </row>
    <row r="4" spans="1:10" x14ac:dyDescent="0.25">
      <c r="A4" s="4" t="s">
        <v>38</v>
      </c>
      <c r="B4" s="4" t="s">
        <v>17</v>
      </c>
      <c r="C4" s="4" t="s">
        <v>39</v>
      </c>
      <c r="D4" s="4" t="s">
        <v>2</v>
      </c>
      <c r="E4" s="4" t="s">
        <v>40</v>
      </c>
      <c r="F4" s="4" t="s">
        <v>41</v>
      </c>
      <c r="G4" s="4" t="s">
        <v>42</v>
      </c>
      <c r="H4" s="4" t="s">
        <v>2</v>
      </c>
      <c r="I4" s="4" t="s">
        <v>2</v>
      </c>
      <c r="J4" s="4"/>
    </row>
    <row r="5" spans="1:10" x14ac:dyDescent="0.25">
      <c r="A5" s="4" t="s">
        <v>43</v>
      </c>
      <c r="B5" s="4" t="s">
        <v>17</v>
      </c>
      <c r="C5" s="4" t="s">
        <v>44</v>
      </c>
      <c r="D5" s="4" t="s">
        <v>2</v>
      </c>
      <c r="E5" s="4" t="s">
        <v>40</v>
      </c>
      <c r="F5" s="4" t="s">
        <v>41</v>
      </c>
      <c r="G5" s="4" t="s">
        <v>42</v>
      </c>
      <c r="H5" s="4" t="s">
        <v>2</v>
      </c>
      <c r="I5" s="4" t="s">
        <v>2</v>
      </c>
      <c r="J5" s="4"/>
    </row>
    <row r="6" spans="1:10" x14ac:dyDescent="0.25">
      <c r="A6" s="4" t="s">
        <v>45</v>
      </c>
      <c r="B6" s="4" t="s">
        <v>17</v>
      </c>
      <c r="C6" s="4" t="s">
        <v>46</v>
      </c>
      <c r="D6" s="4" t="s">
        <v>2</v>
      </c>
      <c r="E6" s="4" t="s">
        <v>40</v>
      </c>
      <c r="F6" s="4" t="s">
        <v>41</v>
      </c>
      <c r="G6" s="4" t="s">
        <v>42</v>
      </c>
      <c r="H6" s="4" t="s">
        <v>2</v>
      </c>
      <c r="I6" s="4" t="s">
        <v>2</v>
      </c>
      <c r="J6" s="4"/>
    </row>
    <row r="7" spans="1:10" x14ac:dyDescent="0.25">
      <c r="A7" s="4" t="s">
        <v>47</v>
      </c>
      <c r="B7" s="4" t="s">
        <v>17</v>
      </c>
      <c r="C7" s="4" t="s">
        <v>48</v>
      </c>
      <c r="D7" s="4" t="s">
        <v>2</v>
      </c>
      <c r="E7" s="4" t="s">
        <v>40</v>
      </c>
      <c r="F7" s="4" t="s">
        <v>41</v>
      </c>
      <c r="G7" s="4" t="s">
        <v>42</v>
      </c>
      <c r="H7" s="4" t="s">
        <v>2</v>
      </c>
      <c r="I7" s="4" t="s">
        <v>2</v>
      </c>
      <c r="J7" s="4"/>
    </row>
    <row r="8" spans="1:10" x14ac:dyDescent="0.25">
      <c r="A8" s="4" t="s">
        <v>49</v>
      </c>
      <c r="B8" s="4" t="s">
        <v>17</v>
      </c>
      <c r="C8" s="4" t="s">
        <v>50</v>
      </c>
      <c r="D8" s="4" t="s">
        <v>2</v>
      </c>
      <c r="E8" s="4" t="s">
        <v>40</v>
      </c>
      <c r="F8" s="4" t="s">
        <v>41</v>
      </c>
      <c r="G8" s="4" t="s">
        <v>42</v>
      </c>
      <c r="H8" s="4" t="s">
        <v>2</v>
      </c>
      <c r="I8" s="4" t="s">
        <v>2</v>
      </c>
      <c r="J8" s="4"/>
    </row>
    <row r="9" spans="1:10" x14ac:dyDescent="0.25">
      <c r="A9" s="4" t="s">
        <v>51</v>
      </c>
      <c r="B9" s="4" t="s">
        <v>17</v>
      </c>
      <c r="C9" s="4" t="s">
        <v>52</v>
      </c>
      <c r="D9" s="4" t="s">
        <v>2</v>
      </c>
      <c r="E9" s="4" t="s">
        <v>40</v>
      </c>
      <c r="F9" s="4" t="s">
        <v>41</v>
      </c>
      <c r="G9" s="4" t="s">
        <v>42</v>
      </c>
      <c r="H9" s="4" t="s">
        <v>2</v>
      </c>
      <c r="I9" s="4" t="s">
        <v>2</v>
      </c>
      <c r="J9" s="4"/>
    </row>
    <row r="10" spans="1:10" x14ac:dyDescent="0.25">
      <c r="A10" s="4" t="s">
        <v>53</v>
      </c>
      <c r="B10" s="4" t="s">
        <v>17</v>
      </c>
      <c r="C10" s="4" t="s">
        <v>54</v>
      </c>
      <c r="D10" s="4" t="s">
        <v>2</v>
      </c>
      <c r="E10" s="4" t="s">
        <v>40</v>
      </c>
      <c r="F10" s="4" t="s">
        <v>41</v>
      </c>
      <c r="G10" s="4" t="s">
        <v>42</v>
      </c>
      <c r="H10" s="4" t="s">
        <v>2</v>
      </c>
      <c r="I10" s="4" t="s">
        <v>2</v>
      </c>
      <c r="J10" s="4"/>
    </row>
    <row r="11" spans="1:10" x14ac:dyDescent="0.25">
      <c r="A11" s="4" t="s">
        <v>55</v>
      </c>
      <c r="B11" s="4" t="s">
        <v>17</v>
      </c>
      <c r="C11" s="4" t="s">
        <v>56</v>
      </c>
      <c r="D11" s="4" t="s">
        <v>2</v>
      </c>
      <c r="E11" s="4" t="s">
        <v>40</v>
      </c>
      <c r="F11" s="4" t="s">
        <v>41</v>
      </c>
      <c r="G11" s="4" t="s">
        <v>42</v>
      </c>
      <c r="H11" s="4" t="s">
        <v>2</v>
      </c>
      <c r="I11" s="4" t="s">
        <v>2</v>
      </c>
      <c r="J11" s="4"/>
    </row>
    <row r="12" spans="1:10" x14ac:dyDescent="0.25">
      <c r="A12" s="4" t="s">
        <v>57</v>
      </c>
      <c r="B12" s="4" t="s">
        <v>17</v>
      </c>
      <c r="C12" s="4" t="s">
        <v>58</v>
      </c>
      <c r="D12" s="4" t="s">
        <v>2</v>
      </c>
      <c r="E12" s="4" t="s">
        <v>40</v>
      </c>
      <c r="F12" s="4" t="s">
        <v>41</v>
      </c>
      <c r="G12" s="4" t="s">
        <v>42</v>
      </c>
      <c r="H12" s="4" t="s">
        <v>2</v>
      </c>
      <c r="I12" s="4" t="s">
        <v>2</v>
      </c>
      <c r="J12" s="4"/>
    </row>
    <row r="13" spans="1:10" x14ac:dyDescent="0.25">
      <c r="A13" s="4" t="s">
        <v>59</v>
      </c>
      <c r="B13" s="4" t="s">
        <v>17</v>
      </c>
      <c r="C13" s="4" t="s">
        <v>60</v>
      </c>
      <c r="D13" s="4" t="s">
        <v>2</v>
      </c>
      <c r="E13" s="4" t="s">
        <v>40</v>
      </c>
      <c r="F13" s="4" t="s">
        <v>41</v>
      </c>
      <c r="G13" s="4" t="s">
        <v>42</v>
      </c>
      <c r="H13" s="4" t="s">
        <v>2</v>
      </c>
      <c r="I13" s="4" t="s">
        <v>2</v>
      </c>
      <c r="J13" s="4"/>
    </row>
    <row r="14" spans="1:10" x14ac:dyDescent="0.25">
      <c r="A14" s="4" t="s">
        <v>61</v>
      </c>
      <c r="B14" s="4" t="s">
        <v>17</v>
      </c>
      <c r="C14" s="4" t="s">
        <v>62</v>
      </c>
      <c r="D14" s="4" t="s">
        <v>2</v>
      </c>
      <c r="E14" s="4" t="s">
        <v>40</v>
      </c>
      <c r="F14" s="4" t="s">
        <v>41</v>
      </c>
      <c r="G14" s="4" t="s">
        <v>42</v>
      </c>
      <c r="H14" s="4" t="s">
        <v>2</v>
      </c>
      <c r="I14" s="4" t="s">
        <v>2</v>
      </c>
      <c r="J14" s="4"/>
    </row>
    <row r="15" spans="1:10" x14ac:dyDescent="0.25">
      <c r="A15" s="4" t="s">
        <v>63</v>
      </c>
      <c r="B15" s="4" t="s">
        <v>17</v>
      </c>
      <c r="C15" s="4" t="s">
        <v>64</v>
      </c>
      <c r="D15" s="4" t="s">
        <v>2</v>
      </c>
      <c r="E15" s="4" t="s">
        <v>40</v>
      </c>
      <c r="F15" s="4" t="s">
        <v>41</v>
      </c>
      <c r="G15" s="4" t="s">
        <v>42</v>
      </c>
      <c r="H15" s="4" t="s">
        <v>2</v>
      </c>
      <c r="I15" s="4" t="s">
        <v>2</v>
      </c>
      <c r="J15" s="4"/>
    </row>
    <row r="16" spans="1:10" x14ac:dyDescent="0.25">
      <c r="A16" s="4" t="s">
        <v>65</v>
      </c>
      <c r="B16" s="4" t="s">
        <v>17</v>
      </c>
      <c r="C16" s="4" t="s">
        <v>66</v>
      </c>
      <c r="D16" s="4" t="s">
        <v>2</v>
      </c>
      <c r="E16" s="4" t="s">
        <v>40</v>
      </c>
      <c r="F16" s="4" t="s">
        <v>41</v>
      </c>
      <c r="G16" s="4" t="s">
        <v>42</v>
      </c>
      <c r="H16" s="4" t="s">
        <v>2</v>
      </c>
      <c r="I16" s="4" t="s">
        <v>2</v>
      </c>
      <c r="J16" s="4"/>
    </row>
    <row r="17" spans="1:10" x14ac:dyDescent="0.25">
      <c r="A17" s="4" t="s">
        <v>67</v>
      </c>
      <c r="B17" s="4" t="s">
        <v>17</v>
      </c>
      <c r="C17" s="4" t="s">
        <v>68</v>
      </c>
      <c r="D17" s="4" t="s">
        <v>2</v>
      </c>
      <c r="E17" s="4" t="s">
        <v>40</v>
      </c>
      <c r="F17" s="4" t="s">
        <v>41</v>
      </c>
      <c r="G17" s="4" t="s">
        <v>42</v>
      </c>
      <c r="H17" s="4" t="s">
        <v>2</v>
      </c>
      <c r="I17" s="4" t="s">
        <v>2</v>
      </c>
      <c r="J17" s="4"/>
    </row>
    <row r="18" spans="1:10" x14ac:dyDescent="0.25">
      <c r="A18" s="4" t="s">
        <v>69</v>
      </c>
      <c r="B18" s="4" t="s">
        <v>17</v>
      </c>
      <c r="C18" s="4" t="s">
        <v>70</v>
      </c>
      <c r="D18" s="4" t="s">
        <v>2</v>
      </c>
      <c r="E18" s="4" t="s">
        <v>40</v>
      </c>
      <c r="F18" s="4" t="s">
        <v>41</v>
      </c>
      <c r="G18" s="4" t="s">
        <v>42</v>
      </c>
      <c r="H18" s="4" t="s">
        <v>2</v>
      </c>
      <c r="I18" s="4" t="s">
        <v>2</v>
      </c>
      <c r="J18" s="4"/>
    </row>
    <row r="19" spans="1:10" x14ac:dyDescent="0.25">
      <c r="A19" s="4" t="s">
        <v>71</v>
      </c>
      <c r="B19" s="4" t="s">
        <v>18</v>
      </c>
      <c r="C19" s="4" t="s">
        <v>72</v>
      </c>
      <c r="D19" s="4" t="s">
        <v>2</v>
      </c>
      <c r="E19" s="4" t="s">
        <v>40</v>
      </c>
      <c r="F19" s="4" t="s">
        <v>41</v>
      </c>
      <c r="G19" s="4" t="s">
        <v>42</v>
      </c>
      <c r="H19" s="4" t="s">
        <v>2</v>
      </c>
      <c r="I19" s="4" t="s">
        <v>2</v>
      </c>
      <c r="J19" s="4"/>
    </row>
    <row r="20" spans="1:10" x14ac:dyDescent="0.25">
      <c r="A20" s="4" t="s">
        <v>73</v>
      </c>
      <c r="B20" s="4" t="s">
        <v>18</v>
      </c>
      <c r="C20" s="4" t="s">
        <v>74</v>
      </c>
      <c r="D20" s="4" t="s">
        <v>2</v>
      </c>
      <c r="E20" s="4" t="s">
        <v>40</v>
      </c>
      <c r="F20" s="4" t="s">
        <v>41</v>
      </c>
      <c r="G20" s="4" t="s">
        <v>42</v>
      </c>
      <c r="H20" s="4" t="s">
        <v>2</v>
      </c>
      <c r="I20" s="4" t="s">
        <v>2</v>
      </c>
      <c r="J20" s="4"/>
    </row>
    <row r="21" spans="1:10" x14ac:dyDescent="0.25">
      <c r="A21" s="4" t="s">
        <v>75</v>
      </c>
      <c r="B21" s="4" t="s">
        <v>18</v>
      </c>
      <c r="C21" s="4" t="s">
        <v>76</v>
      </c>
      <c r="D21" s="4" t="s">
        <v>2</v>
      </c>
      <c r="E21" s="4" t="s">
        <v>40</v>
      </c>
      <c r="F21" s="4" t="s">
        <v>41</v>
      </c>
      <c r="G21" s="4" t="s">
        <v>42</v>
      </c>
      <c r="H21" s="4" t="s">
        <v>2</v>
      </c>
      <c r="I21" s="4" t="s">
        <v>2</v>
      </c>
      <c r="J21" s="4"/>
    </row>
    <row r="22" spans="1:10" x14ac:dyDescent="0.25">
      <c r="A22" s="4" t="s">
        <v>77</v>
      </c>
      <c r="B22" s="4" t="s">
        <v>18</v>
      </c>
      <c r="C22" s="4" t="s">
        <v>78</v>
      </c>
      <c r="D22" s="4" t="s">
        <v>2</v>
      </c>
      <c r="E22" s="4" t="s">
        <v>40</v>
      </c>
      <c r="F22" s="4" t="s">
        <v>41</v>
      </c>
      <c r="G22" s="4" t="s">
        <v>42</v>
      </c>
      <c r="H22" s="4" t="s">
        <v>2</v>
      </c>
      <c r="I22" s="4" t="s">
        <v>2</v>
      </c>
      <c r="J22" s="4"/>
    </row>
    <row r="23" spans="1:10" x14ac:dyDescent="0.25">
      <c r="A23" s="4" t="s">
        <v>79</v>
      </c>
      <c r="B23" s="4" t="s">
        <v>18</v>
      </c>
      <c r="C23" s="4" t="s">
        <v>80</v>
      </c>
      <c r="D23" s="4" t="s">
        <v>2</v>
      </c>
      <c r="E23" s="4" t="s">
        <v>40</v>
      </c>
      <c r="F23" s="4" t="s">
        <v>41</v>
      </c>
      <c r="G23" s="4" t="s">
        <v>42</v>
      </c>
      <c r="H23" s="4" t="s">
        <v>2</v>
      </c>
      <c r="I23" s="4" t="s">
        <v>2</v>
      </c>
      <c r="J23" s="4"/>
    </row>
    <row r="24" spans="1:10" x14ac:dyDescent="0.25">
      <c r="A24" s="4" t="s">
        <v>81</v>
      </c>
      <c r="B24" s="4" t="s">
        <v>18</v>
      </c>
      <c r="C24" s="4" t="s">
        <v>82</v>
      </c>
      <c r="D24" s="4" t="s">
        <v>2</v>
      </c>
      <c r="E24" s="4" t="s">
        <v>40</v>
      </c>
      <c r="F24" s="4" t="s">
        <v>41</v>
      </c>
      <c r="G24" s="4" t="s">
        <v>42</v>
      </c>
      <c r="H24" s="4" t="s">
        <v>2</v>
      </c>
      <c r="I24" s="4" t="s">
        <v>2</v>
      </c>
      <c r="J24" s="4"/>
    </row>
    <row r="25" spans="1:10" x14ac:dyDescent="0.25">
      <c r="A25" s="4" t="s">
        <v>83</v>
      </c>
      <c r="B25" s="4" t="s">
        <v>18</v>
      </c>
      <c r="C25" s="4" t="s">
        <v>84</v>
      </c>
      <c r="D25" s="4" t="s">
        <v>2</v>
      </c>
      <c r="E25" s="4" t="s">
        <v>40</v>
      </c>
      <c r="F25" s="4" t="s">
        <v>41</v>
      </c>
      <c r="G25" s="4" t="s">
        <v>42</v>
      </c>
      <c r="H25" s="4" t="s">
        <v>2</v>
      </c>
      <c r="I25" s="4" t="s">
        <v>2</v>
      </c>
      <c r="J25" s="4"/>
    </row>
    <row r="26" spans="1:10" x14ac:dyDescent="0.25">
      <c r="A26" s="4" t="s">
        <v>85</v>
      </c>
      <c r="B26" s="4" t="s">
        <v>18</v>
      </c>
      <c r="C26" s="4" t="s">
        <v>86</v>
      </c>
      <c r="D26" s="4" t="s">
        <v>2</v>
      </c>
      <c r="E26" s="4" t="s">
        <v>40</v>
      </c>
      <c r="F26" s="4" t="s">
        <v>41</v>
      </c>
      <c r="G26" s="4" t="s">
        <v>42</v>
      </c>
      <c r="H26" s="4" t="s">
        <v>2</v>
      </c>
      <c r="I26" s="4" t="s">
        <v>2</v>
      </c>
      <c r="J26" s="4"/>
    </row>
    <row r="27" spans="1:10" x14ac:dyDescent="0.25">
      <c r="A27" s="4" t="s">
        <v>87</v>
      </c>
      <c r="B27" s="4" t="s">
        <v>18</v>
      </c>
      <c r="C27" s="4" t="s">
        <v>88</v>
      </c>
      <c r="D27" s="4" t="s">
        <v>2</v>
      </c>
      <c r="E27" s="4" t="s">
        <v>40</v>
      </c>
      <c r="F27" s="4" t="s">
        <v>41</v>
      </c>
      <c r="G27" s="4" t="s">
        <v>42</v>
      </c>
      <c r="H27" s="4" t="s">
        <v>2</v>
      </c>
      <c r="I27" s="4" t="s">
        <v>2</v>
      </c>
      <c r="J27" s="4"/>
    </row>
    <row r="28" spans="1:10" x14ac:dyDescent="0.25">
      <c r="A28" s="4" t="s">
        <v>89</v>
      </c>
      <c r="B28" s="4" t="s">
        <v>18</v>
      </c>
      <c r="C28" s="4" t="s">
        <v>90</v>
      </c>
      <c r="D28" s="4" t="s">
        <v>2</v>
      </c>
      <c r="E28" s="4" t="s">
        <v>40</v>
      </c>
      <c r="F28" s="4" t="s">
        <v>41</v>
      </c>
      <c r="G28" s="4" t="s">
        <v>42</v>
      </c>
      <c r="H28" s="4" t="s">
        <v>2</v>
      </c>
      <c r="I28" s="4" t="s">
        <v>2</v>
      </c>
      <c r="J28" s="4"/>
    </row>
    <row r="29" spans="1:10" x14ac:dyDescent="0.25">
      <c r="A29" s="4" t="s">
        <v>91</v>
      </c>
      <c r="B29" s="4" t="s">
        <v>19</v>
      </c>
      <c r="C29" s="4" t="s">
        <v>92</v>
      </c>
      <c r="D29" s="4" t="s">
        <v>2</v>
      </c>
      <c r="E29" s="4" t="s">
        <v>40</v>
      </c>
      <c r="F29" s="4" t="s">
        <v>41</v>
      </c>
      <c r="G29" s="4" t="s">
        <v>42</v>
      </c>
      <c r="H29" s="4" t="s">
        <v>2</v>
      </c>
      <c r="I29" s="4" t="s">
        <v>2</v>
      </c>
      <c r="J29" s="4"/>
    </row>
    <row r="30" spans="1:10" x14ac:dyDescent="0.25">
      <c r="A30" s="4" t="s">
        <v>93</v>
      </c>
      <c r="B30" s="4" t="s">
        <v>19</v>
      </c>
      <c r="C30" s="4" t="s">
        <v>94</v>
      </c>
      <c r="D30" s="4" t="s">
        <v>2</v>
      </c>
      <c r="E30" s="4" t="s">
        <v>40</v>
      </c>
      <c r="F30" s="4" t="s">
        <v>41</v>
      </c>
      <c r="G30" s="4" t="s">
        <v>42</v>
      </c>
      <c r="H30" s="4" t="s">
        <v>2</v>
      </c>
      <c r="I30" s="4" t="s">
        <v>2</v>
      </c>
      <c r="J30" s="4"/>
    </row>
    <row r="31" spans="1:10" x14ac:dyDescent="0.25">
      <c r="A31" s="4" t="s">
        <v>95</v>
      </c>
      <c r="B31" s="4" t="s">
        <v>19</v>
      </c>
      <c r="C31" s="4" t="s">
        <v>96</v>
      </c>
      <c r="D31" s="4" t="s">
        <v>2</v>
      </c>
      <c r="E31" s="4" t="s">
        <v>40</v>
      </c>
      <c r="F31" s="4" t="s">
        <v>41</v>
      </c>
      <c r="G31" s="4" t="s">
        <v>42</v>
      </c>
      <c r="H31" s="4" t="s">
        <v>2</v>
      </c>
      <c r="I31" s="4" t="s">
        <v>2</v>
      </c>
      <c r="J31" s="4"/>
    </row>
    <row r="32" spans="1:10" x14ac:dyDescent="0.25">
      <c r="A32" s="4" t="s">
        <v>97</v>
      </c>
      <c r="B32" s="4" t="s">
        <v>19</v>
      </c>
      <c r="C32" s="4" t="s">
        <v>98</v>
      </c>
      <c r="D32" s="4" t="s">
        <v>2</v>
      </c>
      <c r="E32" s="4" t="s">
        <v>40</v>
      </c>
      <c r="F32" s="4" t="s">
        <v>41</v>
      </c>
      <c r="G32" s="4" t="s">
        <v>42</v>
      </c>
      <c r="H32" s="4" t="s">
        <v>2</v>
      </c>
      <c r="I32" s="4" t="s">
        <v>2</v>
      </c>
      <c r="J32" s="4"/>
    </row>
    <row r="33" spans="1:10" x14ac:dyDescent="0.25">
      <c r="A33" s="4" t="s">
        <v>99</v>
      </c>
      <c r="B33" s="4" t="s">
        <v>19</v>
      </c>
      <c r="C33" s="4" t="s">
        <v>100</v>
      </c>
      <c r="D33" s="4" t="s">
        <v>2</v>
      </c>
      <c r="E33" s="4" t="s">
        <v>40</v>
      </c>
      <c r="F33" s="4" t="s">
        <v>41</v>
      </c>
      <c r="G33" s="4" t="s">
        <v>42</v>
      </c>
      <c r="H33" s="4" t="s">
        <v>2</v>
      </c>
      <c r="I33" s="4" t="s">
        <v>2</v>
      </c>
      <c r="J33" s="4"/>
    </row>
    <row r="34" spans="1:10" x14ac:dyDescent="0.25">
      <c r="A34" s="4" t="s">
        <v>101</v>
      </c>
      <c r="B34" s="4" t="s">
        <v>19</v>
      </c>
      <c r="C34" s="4" t="s">
        <v>102</v>
      </c>
      <c r="D34" s="4" t="s">
        <v>2</v>
      </c>
      <c r="E34" s="4" t="s">
        <v>40</v>
      </c>
      <c r="F34" s="4" t="s">
        <v>41</v>
      </c>
      <c r="G34" s="4" t="s">
        <v>42</v>
      </c>
      <c r="H34" s="4" t="s">
        <v>2</v>
      </c>
      <c r="I34" s="4" t="s">
        <v>2</v>
      </c>
      <c r="J34" s="4"/>
    </row>
    <row r="35" spans="1:10" x14ac:dyDescent="0.25">
      <c r="A35" s="4" t="s">
        <v>103</v>
      </c>
      <c r="B35" s="4" t="s">
        <v>19</v>
      </c>
      <c r="C35" s="4" t="s">
        <v>104</v>
      </c>
      <c r="D35" s="4" t="s">
        <v>2</v>
      </c>
      <c r="E35" s="4" t="s">
        <v>40</v>
      </c>
      <c r="F35" s="4" t="s">
        <v>41</v>
      </c>
      <c r="G35" s="4" t="s">
        <v>42</v>
      </c>
      <c r="H35" s="4" t="s">
        <v>2</v>
      </c>
      <c r="I35" s="4" t="s">
        <v>2</v>
      </c>
      <c r="J35" s="4"/>
    </row>
    <row r="36" spans="1:10" x14ac:dyDescent="0.25">
      <c r="A36" s="4" t="s">
        <v>105</v>
      </c>
      <c r="B36" s="4" t="s">
        <v>19</v>
      </c>
      <c r="C36" s="4" t="s">
        <v>106</v>
      </c>
      <c r="D36" s="4" t="s">
        <v>2</v>
      </c>
      <c r="E36" s="4" t="s">
        <v>40</v>
      </c>
      <c r="F36" s="4" t="s">
        <v>41</v>
      </c>
      <c r="G36" s="4" t="s">
        <v>42</v>
      </c>
      <c r="H36" s="4" t="s">
        <v>2</v>
      </c>
      <c r="I36" s="4" t="s">
        <v>2</v>
      </c>
      <c r="J36" s="4"/>
    </row>
    <row r="37" spans="1:10" x14ac:dyDescent="0.25">
      <c r="A37" s="4" t="s">
        <v>107</v>
      </c>
      <c r="B37" s="4" t="s">
        <v>19</v>
      </c>
      <c r="C37" s="4" t="s">
        <v>108</v>
      </c>
      <c r="D37" s="4" t="s">
        <v>2</v>
      </c>
      <c r="E37" s="4" t="s">
        <v>40</v>
      </c>
      <c r="F37" s="4" t="s">
        <v>41</v>
      </c>
      <c r="G37" s="4" t="s">
        <v>42</v>
      </c>
      <c r="H37" s="4" t="s">
        <v>2</v>
      </c>
      <c r="I37" s="4" t="s">
        <v>2</v>
      </c>
      <c r="J37" s="4"/>
    </row>
    <row r="38" spans="1:10" x14ac:dyDescent="0.25">
      <c r="A38" s="4" t="s">
        <v>109</v>
      </c>
      <c r="B38" s="4" t="s">
        <v>20</v>
      </c>
      <c r="C38" s="4" t="s">
        <v>110</v>
      </c>
      <c r="D38" s="4" t="s">
        <v>2</v>
      </c>
      <c r="E38" s="4" t="s">
        <v>40</v>
      </c>
      <c r="F38" s="4" t="s">
        <v>41</v>
      </c>
      <c r="G38" s="4" t="s">
        <v>42</v>
      </c>
      <c r="H38" s="4" t="s">
        <v>2</v>
      </c>
      <c r="I38" s="4" t="s">
        <v>2</v>
      </c>
      <c r="J38" s="4"/>
    </row>
    <row r="39" spans="1:10" x14ac:dyDescent="0.25">
      <c r="A39" s="4" t="s">
        <v>111</v>
      </c>
      <c r="B39" s="4" t="s">
        <v>20</v>
      </c>
      <c r="C39" s="4" t="s">
        <v>112</v>
      </c>
      <c r="D39" s="4" t="s">
        <v>2</v>
      </c>
      <c r="E39" s="4" t="s">
        <v>40</v>
      </c>
      <c r="F39" s="4" t="s">
        <v>41</v>
      </c>
      <c r="G39" s="4" t="s">
        <v>42</v>
      </c>
      <c r="H39" s="4" t="s">
        <v>2</v>
      </c>
      <c r="I39" s="4" t="s">
        <v>2</v>
      </c>
      <c r="J39" s="4"/>
    </row>
    <row r="40" spans="1:10" x14ac:dyDescent="0.25">
      <c r="A40" s="4" t="s">
        <v>113</v>
      </c>
      <c r="B40" s="4" t="s">
        <v>20</v>
      </c>
      <c r="C40" s="4" t="s">
        <v>114</v>
      </c>
      <c r="D40" s="4" t="s">
        <v>2</v>
      </c>
      <c r="E40" s="4" t="s">
        <v>40</v>
      </c>
      <c r="F40" s="4" t="s">
        <v>41</v>
      </c>
      <c r="G40" s="4" t="s">
        <v>42</v>
      </c>
      <c r="H40" s="4" t="s">
        <v>2</v>
      </c>
      <c r="I40" s="4" t="s">
        <v>2</v>
      </c>
      <c r="J40" s="4"/>
    </row>
    <row r="41" spans="1:10" x14ac:dyDescent="0.25">
      <c r="A41" s="4" t="s">
        <v>115</v>
      </c>
      <c r="B41" s="4" t="s">
        <v>20</v>
      </c>
      <c r="C41" s="4" t="s">
        <v>116</v>
      </c>
      <c r="D41" s="4" t="s">
        <v>2</v>
      </c>
      <c r="E41" s="4" t="s">
        <v>40</v>
      </c>
      <c r="F41" s="4" t="s">
        <v>41</v>
      </c>
      <c r="G41" s="4" t="s">
        <v>42</v>
      </c>
      <c r="H41" s="4" t="s">
        <v>2</v>
      </c>
      <c r="I41" s="4" t="s">
        <v>2</v>
      </c>
      <c r="J41" s="4"/>
    </row>
    <row r="42" spans="1:10" x14ac:dyDescent="0.25">
      <c r="A42" s="4" t="s">
        <v>117</v>
      </c>
      <c r="B42" s="4" t="s">
        <v>20</v>
      </c>
      <c r="C42" s="4" t="s">
        <v>118</v>
      </c>
      <c r="D42" s="4" t="s">
        <v>2</v>
      </c>
      <c r="E42" s="4" t="s">
        <v>40</v>
      </c>
      <c r="F42" s="4" t="s">
        <v>41</v>
      </c>
      <c r="G42" s="4" t="s">
        <v>42</v>
      </c>
      <c r="H42" s="4" t="s">
        <v>2</v>
      </c>
      <c r="I42" s="4" t="s">
        <v>2</v>
      </c>
      <c r="J42" s="4"/>
    </row>
    <row r="43" spans="1:10" x14ac:dyDescent="0.25">
      <c r="A43" s="4" t="s">
        <v>119</v>
      </c>
      <c r="B43" s="4" t="s">
        <v>20</v>
      </c>
      <c r="C43" s="4" t="s">
        <v>120</v>
      </c>
      <c r="D43" s="4" t="s">
        <v>2</v>
      </c>
      <c r="E43" s="4" t="s">
        <v>40</v>
      </c>
      <c r="F43" s="4" t="s">
        <v>41</v>
      </c>
      <c r="G43" s="4" t="s">
        <v>42</v>
      </c>
      <c r="H43" s="4" t="s">
        <v>2</v>
      </c>
      <c r="I43" s="4" t="s">
        <v>2</v>
      </c>
      <c r="J43" s="4"/>
    </row>
    <row r="44" spans="1:10" x14ac:dyDescent="0.25">
      <c r="A44" s="4" t="s">
        <v>121</v>
      </c>
      <c r="B44" s="4" t="s">
        <v>20</v>
      </c>
      <c r="C44" s="4" t="s">
        <v>122</v>
      </c>
      <c r="D44" s="4" t="s">
        <v>2</v>
      </c>
      <c r="E44" s="4" t="s">
        <v>40</v>
      </c>
      <c r="F44" s="4" t="s">
        <v>41</v>
      </c>
      <c r="G44" s="4" t="s">
        <v>42</v>
      </c>
      <c r="H44" s="4" t="s">
        <v>2</v>
      </c>
      <c r="I44" s="4" t="s">
        <v>2</v>
      </c>
      <c r="J44" s="4"/>
    </row>
    <row r="45" spans="1:10" x14ac:dyDescent="0.25">
      <c r="A45" s="4" t="s">
        <v>123</v>
      </c>
      <c r="B45" s="4" t="s">
        <v>20</v>
      </c>
      <c r="C45" s="4" t="s">
        <v>124</v>
      </c>
      <c r="D45" s="4" t="s">
        <v>2</v>
      </c>
      <c r="E45" s="4" t="s">
        <v>40</v>
      </c>
      <c r="F45" s="4" t="s">
        <v>41</v>
      </c>
      <c r="G45" s="4" t="s">
        <v>42</v>
      </c>
      <c r="H45" s="4" t="s">
        <v>2</v>
      </c>
      <c r="I45" s="4" t="s">
        <v>2</v>
      </c>
      <c r="J45" s="4"/>
    </row>
    <row r="46" spans="1:10" x14ac:dyDescent="0.25">
      <c r="A46" s="4" t="s">
        <v>125</v>
      </c>
      <c r="B46" s="4" t="s">
        <v>21</v>
      </c>
      <c r="C46" s="4" t="s">
        <v>126</v>
      </c>
      <c r="D46" s="4" t="s">
        <v>2</v>
      </c>
      <c r="E46" s="4" t="s">
        <v>40</v>
      </c>
      <c r="F46" s="4" t="s">
        <v>41</v>
      </c>
      <c r="G46" s="4" t="s">
        <v>42</v>
      </c>
      <c r="H46" s="4" t="s">
        <v>2</v>
      </c>
      <c r="I46" s="4" t="s">
        <v>2</v>
      </c>
      <c r="J46" s="4"/>
    </row>
    <row r="47" spans="1:10" x14ac:dyDescent="0.25">
      <c r="A47" s="4" t="s">
        <v>127</v>
      </c>
      <c r="B47" s="4" t="s">
        <v>21</v>
      </c>
      <c r="C47" s="4" t="s">
        <v>128</v>
      </c>
      <c r="D47" s="4" t="s">
        <v>2</v>
      </c>
      <c r="E47" s="4" t="s">
        <v>40</v>
      </c>
      <c r="F47" s="4" t="s">
        <v>41</v>
      </c>
      <c r="G47" s="4" t="s">
        <v>42</v>
      </c>
      <c r="H47" s="4" t="s">
        <v>2</v>
      </c>
      <c r="I47" s="4" t="s">
        <v>2</v>
      </c>
      <c r="J47" s="4"/>
    </row>
    <row r="48" spans="1:10" x14ac:dyDescent="0.25">
      <c r="A48" s="4" t="s">
        <v>129</v>
      </c>
      <c r="B48" s="4" t="s">
        <v>21</v>
      </c>
      <c r="C48" s="4" t="s">
        <v>130</v>
      </c>
      <c r="D48" s="4" t="s">
        <v>2</v>
      </c>
      <c r="E48" s="4" t="s">
        <v>40</v>
      </c>
      <c r="F48" s="4" t="s">
        <v>41</v>
      </c>
      <c r="G48" s="4" t="s">
        <v>42</v>
      </c>
      <c r="H48" s="4" t="s">
        <v>2</v>
      </c>
      <c r="I48" s="4" t="s">
        <v>2</v>
      </c>
      <c r="J48" s="4"/>
    </row>
    <row r="49" spans="1:10" x14ac:dyDescent="0.25">
      <c r="A49" s="4" t="s">
        <v>131</v>
      </c>
      <c r="B49" s="4" t="s">
        <v>21</v>
      </c>
      <c r="C49" s="4" t="s">
        <v>132</v>
      </c>
      <c r="D49" s="4" t="s">
        <v>2</v>
      </c>
      <c r="E49" s="4" t="s">
        <v>40</v>
      </c>
      <c r="F49" s="4" t="s">
        <v>41</v>
      </c>
      <c r="G49" s="4" t="s">
        <v>42</v>
      </c>
      <c r="H49" s="4" t="s">
        <v>2</v>
      </c>
      <c r="I49" s="4" t="s">
        <v>2</v>
      </c>
      <c r="J49" s="4"/>
    </row>
    <row r="50" spans="1:10" x14ac:dyDescent="0.25">
      <c r="A50" s="4" t="s">
        <v>133</v>
      </c>
      <c r="B50" s="4" t="s">
        <v>21</v>
      </c>
      <c r="C50" s="4" t="s">
        <v>134</v>
      </c>
      <c r="D50" s="4" t="s">
        <v>2</v>
      </c>
      <c r="E50" s="4" t="s">
        <v>40</v>
      </c>
      <c r="F50" s="4" t="s">
        <v>41</v>
      </c>
      <c r="G50" s="4" t="s">
        <v>42</v>
      </c>
      <c r="H50" s="4" t="s">
        <v>2</v>
      </c>
      <c r="I50" s="4" t="s">
        <v>2</v>
      </c>
      <c r="J50" s="4"/>
    </row>
    <row r="51" spans="1:10" x14ac:dyDescent="0.25">
      <c r="A51" s="4" t="s">
        <v>135</v>
      </c>
      <c r="B51" s="4" t="s">
        <v>21</v>
      </c>
      <c r="C51" s="4" t="s">
        <v>136</v>
      </c>
      <c r="D51" s="4" t="s">
        <v>2</v>
      </c>
      <c r="E51" s="4" t="s">
        <v>40</v>
      </c>
      <c r="F51" s="4" t="s">
        <v>41</v>
      </c>
      <c r="G51" s="4" t="s">
        <v>42</v>
      </c>
      <c r="H51" s="4" t="s">
        <v>2</v>
      </c>
      <c r="I51" s="4" t="s">
        <v>2</v>
      </c>
      <c r="J51" s="4"/>
    </row>
    <row r="52" spans="1:10" x14ac:dyDescent="0.25">
      <c r="A52" s="4" t="s">
        <v>137</v>
      </c>
      <c r="B52" s="4" t="s">
        <v>21</v>
      </c>
      <c r="C52" s="4" t="s">
        <v>138</v>
      </c>
      <c r="D52" s="4" t="s">
        <v>2</v>
      </c>
      <c r="E52" s="4" t="s">
        <v>40</v>
      </c>
      <c r="F52" s="4" t="s">
        <v>41</v>
      </c>
      <c r="G52" s="4" t="s">
        <v>42</v>
      </c>
      <c r="H52" s="4" t="s">
        <v>2</v>
      </c>
      <c r="I52" s="4" t="s">
        <v>2</v>
      </c>
      <c r="J52" s="4"/>
    </row>
    <row r="53" spans="1:10" x14ac:dyDescent="0.25">
      <c r="A53" s="4" t="s">
        <v>139</v>
      </c>
      <c r="B53" s="4" t="s">
        <v>21</v>
      </c>
      <c r="C53" s="4" t="s">
        <v>140</v>
      </c>
      <c r="D53" s="4" t="s">
        <v>2</v>
      </c>
      <c r="E53" s="4" t="s">
        <v>40</v>
      </c>
      <c r="F53" s="4" t="s">
        <v>41</v>
      </c>
      <c r="G53" s="4" t="s">
        <v>42</v>
      </c>
      <c r="H53" s="4" t="s">
        <v>2</v>
      </c>
      <c r="I53" s="4" t="s">
        <v>2</v>
      </c>
      <c r="J53" s="4"/>
    </row>
    <row r="54" spans="1:10" x14ac:dyDescent="0.25">
      <c r="A54" s="4" t="s">
        <v>141</v>
      </c>
      <c r="B54" s="4" t="s">
        <v>21</v>
      </c>
      <c r="C54" s="4" t="s">
        <v>142</v>
      </c>
      <c r="D54" s="4" t="s">
        <v>2</v>
      </c>
      <c r="E54" s="4" t="s">
        <v>40</v>
      </c>
      <c r="F54" s="4" t="s">
        <v>41</v>
      </c>
      <c r="G54" s="4" t="s">
        <v>42</v>
      </c>
      <c r="H54" s="4" t="s">
        <v>2</v>
      </c>
      <c r="I54" s="4" t="s">
        <v>2</v>
      </c>
      <c r="J54" s="4"/>
    </row>
    <row r="55" spans="1:10" x14ac:dyDescent="0.25">
      <c r="A55" s="4" t="s">
        <v>143</v>
      </c>
      <c r="B55" s="4" t="s">
        <v>21</v>
      </c>
      <c r="C55" s="4" t="s">
        <v>144</v>
      </c>
      <c r="D55" s="4" t="s">
        <v>2</v>
      </c>
      <c r="E55" s="4" t="s">
        <v>40</v>
      </c>
      <c r="F55" s="4" t="s">
        <v>41</v>
      </c>
      <c r="G55" s="4" t="s">
        <v>42</v>
      </c>
      <c r="H55" s="4" t="s">
        <v>2</v>
      </c>
      <c r="I55" s="4" t="s">
        <v>2</v>
      </c>
      <c r="J55" s="4"/>
    </row>
    <row r="56" spans="1:10" x14ac:dyDescent="0.25">
      <c r="A56" s="4" t="s">
        <v>145</v>
      </c>
      <c r="B56" s="4" t="s">
        <v>21</v>
      </c>
      <c r="C56" s="4" t="s">
        <v>146</v>
      </c>
      <c r="D56" s="4" t="s">
        <v>2</v>
      </c>
      <c r="E56" s="4" t="s">
        <v>40</v>
      </c>
      <c r="F56" s="4" t="s">
        <v>41</v>
      </c>
      <c r="G56" s="4" t="s">
        <v>42</v>
      </c>
      <c r="H56" s="4" t="s">
        <v>2</v>
      </c>
      <c r="I56" s="4" t="s">
        <v>2</v>
      </c>
      <c r="J56" s="4"/>
    </row>
    <row r="57" spans="1:10" x14ac:dyDescent="0.25">
      <c r="A57" s="4" t="s">
        <v>147</v>
      </c>
      <c r="B57" s="4" t="s">
        <v>21</v>
      </c>
      <c r="C57" s="4" t="s">
        <v>148</v>
      </c>
      <c r="D57" s="4" t="s">
        <v>2</v>
      </c>
      <c r="E57" s="4" t="s">
        <v>40</v>
      </c>
      <c r="F57" s="4" t="s">
        <v>41</v>
      </c>
      <c r="G57" s="4" t="s">
        <v>42</v>
      </c>
      <c r="H57" s="4" t="s">
        <v>2</v>
      </c>
      <c r="I57" s="4" t="s">
        <v>2</v>
      </c>
      <c r="J57" s="4"/>
    </row>
    <row r="58" spans="1:10" x14ac:dyDescent="0.25">
      <c r="A58" s="4" t="s">
        <v>149</v>
      </c>
      <c r="B58" s="4" t="s">
        <v>22</v>
      </c>
      <c r="C58" s="4" t="s">
        <v>150</v>
      </c>
      <c r="D58" s="4" t="s">
        <v>2</v>
      </c>
      <c r="E58" s="4" t="s">
        <v>40</v>
      </c>
      <c r="F58" s="4" t="s">
        <v>41</v>
      </c>
      <c r="G58" s="4" t="s">
        <v>42</v>
      </c>
      <c r="H58" s="4" t="s">
        <v>2</v>
      </c>
      <c r="I58" s="4" t="s">
        <v>2</v>
      </c>
      <c r="J58" s="4"/>
    </row>
    <row r="59" spans="1:10" x14ac:dyDescent="0.25">
      <c r="A59" s="4" t="s">
        <v>151</v>
      </c>
      <c r="B59" s="4" t="s">
        <v>22</v>
      </c>
      <c r="C59" s="4" t="s">
        <v>152</v>
      </c>
      <c r="D59" s="4" t="s">
        <v>2</v>
      </c>
      <c r="E59" s="4" t="s">
        <v>40</v>
      </c>
      <c r="F59" s="4" t="s">
        <v>41</v>
      </c>
      <c r="G59" s="4" t="s">
        <v>42</v>
      </c>
      <c r="H59" s="4" t="s">
        <v>2</v>
      </c>
      <c r="I59" s="4" t="s">
        <v>2</v>
      </c>
      <c r="J59" s="4"/>
    </row>
    <row r="60" spans="1:10" x14ac:dyDescent="0.25">
      <c r="A60" s="4" t="s">
        <v>153</v>
      </c>
      <c r="B60" s="4" t="s">
        <v>22</v>
      </c>
      <c r="C60" s="4" t="s">
        <v>154</v>
      </c>
      <c r="D60" s="4" t="s">
        <v>2</v>
      </c>
      <c r="E60" s="4" t="s">
        <v>40</v>
      </c>
      <c r="F60" s="4" t="s">
        <v>41</v>
      </c>
      <c r="G60" s="4" t="s">
        <v>42</v>
      </c>
      <c r="H60" s="4" t="s">
        <v>2</v>
      </c>
      <c r="I60" s="4" t="s">
        <v>2</v>
      </c>
      <c r="J60" s="4"/>
    </row>
    <row r="61" spans="1:10" x14ac:dyDescent="0.25">
      <c r="A61" s="4" t="s">
        <v>155</v>
      </c>
      <c r="B61" s="4" t="s">
        <v>22</v>
      </c>
      <c r="C61" s="4" t="s">
        <v>156</v>
      </c>
      <c r="D61" s="4" t="s">
        <v>2</v>
      </c>
      <c r="E61" s="4" t="s">
        <v>40</v>
      </c>
      <c r="F61" s="4" t="s">
        <v>41</v>
      </c>
      <c r="G61" s="4" t="s">
        <v>42</v>
      </c>
      <c r="H61" s="4" t="s">
        <v>2</v>
      </c>
      <c r="I61" s="4" t="s">
        <v>2</v>
      </c>
      <c r="J61" s="4"/>
    </row>
    <row r="62" spans="1:10" x14ac:dyDescent="0.25">
      <c r="A62" s="4" t="s">
        <v>157</v>
      </c>
      <c r="B62" s="4" t="s">
        <v>22</v>
      </c>
      <c r="C62" s="4" t="s">
        <v>158</v>
      </c>
      <c r="D62" s="4" t="s">
        <v>2</v>
      </c>
      <c r="E62" s="4" t="s">
        <v>40</v>
      </c>
      <c r="F62" s="4" t="s">
        <v>41</v>
      </c>
      <c r="G62" s="4" t="s">
        <v>42</v>
      </c>
      <c r="H62" s="4" t="s">
        <v>2</v>
      </c>
      <c r="I62" s="4" t="s">
        <v>2</v>
      </c>
      <c r="J62" s="4"/>
    </row>
    <row r="63" spans="1:10" x14ac:dyDescent="0.25">
      <c r="A63" s="4" t="s">
        <v>159</v>
      </c>
      <c r="B63" s="4" t="s">
        <v>22</v>
      </c>
      <c r="C63" s="4" t="s">
        <v>160</v>
      </c>
      <c r="D63" s="4" t="s">
        <v>2</v>
      </c>
      <c r="E63" s="4" t="s">
        <v>40</v>
      </c>
      <c r="F63" s="4" t="s">
        <v>41</v>
      </c>
      <c r="G63" s="4" t="s">
        <v>42</v>
      </c>
      <c r="H63" s="4" t="s">
        <v>2</v>
      </c>
      <c r="I63" s="4" t="s">
        <v>2</v>
      </c>
      <c r="J63" s="4"/>
    </row>
    <row r="64" spans="1:10" x14ac:dyDescent="0.25">
      <c r="A64" s="4" t="s">
        <v>161</v>
      </c>
      <c r="B64" s="4" t="s">
        <v>22</v>
      </c>
      <c r="C64" s="4" t="s">
        <v>162</v>
      </c>
      <c r="D64" s="4" t="s">
        <v>2</v>
      </c>
      <c r="E64" s="4" t="s">
        <v>40</v>
      </c>
      <c r="F64" s="4" t="s">
        <v>41</v>
      </c>
      <c r="G64" s="4" t="s">
        <v>42</v>
      </c>
      <c r="H64" s="4" t="s">
        <v>2</v>
      </c>
      <c r="I64" s="4" t="s">
        <v>2</v>
      </c>
      <c r="J64" s="4"/>
    </row>
    <row r="65" spans="1:10" x14ac:dyDescent="0.25">
      <c r="A65" s="4" t="s">
        <v>163</v>
      </c>
      <c r="B65" s="4" t="s">
        <v>22</v>
      </c>
      <c r="C65" s="4" t="s">
        <v>164</v>
      </c>
      <c r="D65" s="4" t="s">
        <v>2</v>
      </c>
      <c r="E65" s="4" t="s">
        <v>40</v>
      </c>
      <c r="F65" s="4" t="s">
        <v>41</v>
      </c>
      <c r="G65" s="4" t="s">
        <v>42</v>
      </c>
      <c r="H65" s="4" t="s">
        <v>2</v>
      </c>
      <c r="I65" s="4" t="s">
        <v>2</v>
      </c>
      <c r="J65" s="4"/>
    </row>
    <row r="66" spans="1:10" x14ac:dyDescent="0.25">
      <c r="A66" s="4" t="s">
        <v>165</v>
      </c>
      <c r="B66" s="4" t="s">
        <v>22</v>
      </c>
      <c r="C66" s="4" t="s">
        <v>166</v>
      </c>
      <c r="D66" s="4" t="s">
        <v>2</v>
      </c>
      <c r="E66" s="4" t="s">
        <v>40</v>
      </c>
      <c r="F66" s="4" t="s">
        <v>41</v>
      </c>
      <c r="G66" s="4" t="s">
        <v>42</v>
      </c>
      <c r="H66" s="4" t="s">
        <v>2</v>
      </c>
      <c r="I66" s="4" t="s">
        <v>2</v>
      </c>
      <c r="J66" s="4"/>
    </row>
    <row r="67" spans="1:10" x14ac:dyDescent="0.25">
      <c r="A67" s="4" t="s">
        <v>167</v>
      </c>
      <c r="B67" s="4" t="s">
        <v>22</v>
      </c>
      <c r="C67" s="4" t="s">
        <v>168</v>
      </c>
      <c r="D67" s="4" t="s">
        <v>2</v>
      </c>
      <c r="E67" s="4" t="s">
        <v>40</v>
      </c>
      <c r="F67" s="4" t="s">
        <v>41</v>
      </c>
      <c r="G67" s="4" t="s">
        <v>42</v>
      </c>
      <c r="H67" s="4" t="s">
        <v>2</v>
      </c>
      <c r="I67" s="4" t="s">
        <v>2</v>
      </c>
      <c r="J67" s="4"/>
    </row>
    <row r="68" spans="1:10" x14ac:dyDescent="0.25">
      <c r="A68" s="4" t="s">
        <v>169</v>
      </c>
      <c r="B68" s="4" t="s">
        <v>23</v>
      </c>
      <c r="C68" s="4" t="s">
        <v>170</v>
      </c>
      <c r="D68" s="4" t="s">
        <v>2</v>
      </c>
      <c r="E68" s="4" t="s">
        <v>40</v>
      </c>
      <c r="F68" s="4" t="s">
        <v>41</v>
      </c>
      <c r="G68" s="4" t="s">
        <v>42</v>
      </c>
      <c r="H68" s="4" t="s">
        <v>2</v>
      </c>
      <c r="I68" s="4" t="s">
        <v>2</v>
      </c>
      <c r="J68" s="4"/>
    </row>
    <row r="69" spans="1:10" x14ac:dyDescent="0.25">
      <c r="A69" s="4" t="s">
        <v>171</v>
      </c>
      <c r="B69" s="4" t="s">
        <v>23</v>
      </c>
      <c r="C69" s="4" t="s">
        <v>172</v>
      </c>
      <c r="D69" s="4" t="s">
        <v>2</v>
      </c>
      <c r="E69" s="4" t="s">
        <v>40</v>
      </c>
      <c r="F69" s="4" t="s">
        <v>41</v>
      </c>
      <c r="G69" s="4" t="s">
        <v>42</v>
      </c>
      <c r="H69" s="4" t="s">
        <v>2</v>
      </c>
      <c r="I69" s="4" t="s">
        <v>2</v>
      </c>
      <c r="J69" s="4"/>
    </row>
    <row r="70" spans="1:10" x14ac:dyDescent="0.25">
      <c r="A70" s="4" t="s">
        <v>173</v>
      </c>
      <c r="B70" s="4" t="s">
        <v>23</v>
      </c>
      <c r="C70" s="4" t="s">
        <v>174</v>
      </c>
      <c r="D70" s="4" t="s">
        <v>2</v>
      </c>
      <c r="E70" s="4" t="s">
        <v>40</v>
      </c>
      <c r="F70" s="4" t="s">
        <v>41</v>
      </c>
      <c r="G70" s="4" t="s">
        <v>42</v>
      </c>
      <c r="H70" s="4" t="s">
        <v>2</v>
      </c>
      <c r="I70" s="4" t="s">
        <v>2</v>
      </c>
      <c r="J70" s="4"/>
    </row>
    <row r="71" spans="1:10" x14ac:dyDescent="0.25">
      <c r="A71" s="4" t="s">
        <v>175</v>
      </c>
      <c r="B71" s="4" t="s">
        <v>23</v>
      </c>
      <c r="C71" s="4" t="s">
        <v>176</v>
      </c>
      <c r="D71" s="4" t="s">
        <v>2</v>
      </c>
      <c r="E71" s="4" t="s">
        <v>40</v>
      </c>
      <c r="F71" s="4" t="s">
        <v>41</v>
      </c>
      <c r="G71" s="4" t="s">
        <v>42</v>
      </c>
      <c r="H71" s="4" t="s">
        <v>2</v>
      </c>
      <c r="I71" s="4" t="s">
        <v>2</v>
      </c>
      <c r="J71" s="4"/>
    </row>
    <row r="72" spans="1:10" x14ac:dyDescent="0.25">
      <c r="A72" s="4" t="s">
        <v>177</v>
      </c>
      <c r="B72" s="4" t="s">
        <v>23</v>
      </c>
      <c r="C72" s="4" t="s">
        <v>178</v>
      </c>
      <c r="D72" s="4" t="s">
        <v>2</v>
      </c>
      <c r="E72" s="4" t="s">
        <v>40</v>
      </c>
      <c r="F72" s="4" t="s">
        <v>41</v>
      </c>
      <c r="G72" s="4" t="s">
        <v>42</v>
      </c>
      <c r="H72" s="4" t="s">
        <v>2</v>
      </c>
      <c r="I72" s="4" t="s">
        <v>2</v>
      </c>
      <c r="J72" s="4"/>
    </row>
    <row r="73" spans="1:10" x14ac:dyDescent="0.25">
      <c r="A73" s="4" t="s">
        <v>179</v>
      </c>
      <c r="B73" s="4" t="s">
        <v>23</v>
      </c>
      <c r="C73" s="4" t="s">
        <v>180</v>
      </c>
      <c r="D73" s="4" t="s">
        <v>2</v>
      </c>
      <c r="E73" s="4" t="s">
        <v>40</v>
      </c>
      <c r="F73" s="4" t="s">
        <v>41</v>
      </c>
      <c r="G73" s="4" t="s">
        <v>42</v>
      </c>
      <c r="H73" s="4" t="s">
        <v>2</v>
      </c>
      <c r="I73" s="4" t="s">
        <v>2</v>
      </c>
      <c r="J73" s="4"/>
    </row>
    <row r="74" spans="1:10" x14ac:dyDescent="0.25">
      <c r="A74" s="4" t="s">
        <v>181</v>
      </c>
      <c r="B74" s="4" t="s">
        <v>23</v>
      </c>
      <c r="C74" s="4" t="s">
        <v>182</v>
      </c>
      <c r="D74" s="4" t="s">
        <v>2</v>
      </c>
      <c r="E74" s="4" t="s">
        <v>40</v>
      </c>
      <c r="F74" s="4" t="s">
        <v>41</v>
      </c>
      <c r="G74" s="4" t="s">
        <v>42</v>
      </c>
      <c r="H74" s="4" t="s">
        <v>2</v>
      </c>
      <c r="I74" s="4" t="s">
        <v>2</v>
      </c>
      <c r="J74" s="4"/>
    </row>
    <row r="75" spans="1:10" x14ac:dyDescent="0.25">
      <c r="A75" s="4" t="s">
        <v>183</v>
      </c>
      <c r="B75" s="4" t="s">
        <v>23</v>
      </c>
      <c r="C75" s="4" t="s">
        <v>184</v>
      </c>
      <c r="D75" s="4" t="s">
        <v>2</v>
      </c>
      <c r="E75" s="4" t="s">
        <v>40</v>
      </c>
      <c r="F75" s="4" t="s">
        <v>41</v>
      </c>
      <c r="G75" s="4" t="s">
        <v>42</v>
      </c>
      <c r="H75" s="4" t="s">
        <v>2</v>
      </c>
      <c r="I75" s="4" t="s">
        <v>2</v>
      </c>
      <c r="J75" s="4"/>
    </row>
    <row r="76" spans="1:10" x14ac:dyDescent="0.25">
      <c r="A76" s="4" t="s">
        <v>185</v>
      </c>
      <c r="B76" s="4" t="s">
        <v>23</v>
      </c>
      <c r="C76" s="4" t="s">
        <v>186</v>
      </c>
      <c r="D76" s="4" t="s">
        <v>2</v>
      </c>
      <c r="E76" s="4" t="s">
        <v>40</v>
      </c>
      <c r="F76" s="4" t="s">
        <v>41</v>
      </c>
      <c r="G76" s="4" t="s">
        <v>42</v>
      </c>
      <c r="H76" s="4" t="s">
        <v>2</v>
      </c>
      <c r="I76" s="4" t="s">
        <v>2</v>
      </c>
      <c r="J76" s="4"/>
    </row>
    <row r="77" spans="1:10" x14ac:dyDescent="0.25">
      <c r="A77" s="4" t="s">
        <v>187</v>
      </c>
      <c r="B77" s="4" t="s">
        <v>23</v>
      </c>
      <c r="C77" s="4" t="s">
        <v>188</v>
      </c>
      <c r="D77" s="4" t="s">
        <v>2</v>
      </c>
      <c r="E77" s="4" t="s">
        <v>40</v>
      </c>
      <c r="F77" s="4" t="s">
        <v>41</v>
      </c>
      <c r="G77" s="4" t="s">
        <v>42</v>
      </c>
      <c r="H77" s="4" t="s">
        <v>2</v>
      </c>
      <c r="I77" s="4" t="s">
        <v>2</v>
      </c>
      <c r="J77" s="4"/>
    </row>
    <row r="78" spans="1:10" x14ac:dyDescent="0.25">
      <c r="A78" s="4" t="s">
        <v>189</v>
      </c>
      <c r="B78" s="4" t="s">
        <v>23</v>
      </c>
      <c r="C78" s="4" t="s">
        <v>190</v>
      </c>
      <c r="D78" s="4" t="s">
        <v>2</v>
      </c>
      <c r="E78" s="4" t="s">
        <v>40</v>
      </c>
      <c r="F78" s="4" t="s">
        <v>41</v>
      </c>
      <c r="G78" s="4" t="s">
        <v>42</v>
      </c>
      <c r="H78" s="4" t="s">
        <v>2</v>
      </c>
      <c r="I78" s="4" t="s">
        <v>2</v>
      </c>
      <c r="J78" s="4"/>
    </row>
    <row r="79" spans="1:10" x14ac:dyDescent="0.25">
      <c r="A79" s="4" t="s">
        <v>191</v>
      </c>
      <c r="B79" s="4" t="s">
        <v>23</v>
      </c>
      <c r="C79" s="4" t="s">
        <v>192</v>
      </c>
      <c r="D79" s="4" t="s">
        <v>2</v>
      </c>
      <c r="E79" s="4" t="s">
        <v>40</v>
      </c>
      <c r="F79" s="4" t="s">
        <v>41</v>
      </c>
      <c r="G79" s="4" t="s">
        <v>42</v>
      </c>
      <c r="H79" s="4" t="s">
        <v>2</v>
      </c>
      <c r="I79" s="4" t="s">
        <v>2</v>
      </c>
      <c r="J79" s="4"/>
    </row>
    <row r="80" spans="1:10" x14ac:dyDescent="0.25">
      <c r="A80" s="4" t="s">
        <v>193</v>
      </c>
      <c r="B80" s="4" t="s">
        <v>23</v>
      </c>
      <c r="C80" s="4" t="s">
        <v>194</v>
      </c>
      <c r="D80" s="4" t="s">
        <v>2</v>
      </c>
      <c r="E80" s="4" t="s">
        <v>40</v>
      </c>
      <c r="F80" s="4" t="s">
        <v>41</v>
      </c>
      <c r="G80" s="4" t="s">
        <v>42</v>
      </c>
      <c r="H80" s="4" t="s">
        <v>2</v>
      </c>
      <c r="I80" s="4" t="s">
        <v>2</v>
      </c>
      <c r="J80" s="4"/>
    </row>
    <row r="81" spans="1:10" x14ac:dyDescent="0.25">
      <c r="A81" s="4" t="s">
        <v>195</v>
      </c>
      <c r="B81" s="4" t="s">
        <v>23</v>
      </c>
      <c r="C81" s="4" t="s">
        <v>196</v>
      </c>
      <c r="D81" s="4" t="s">
        <v>2</v>
      </c>
      <c r="E81" s="4" t="s">
        <v>40</v>
      </c>
      <c r="F81" s="4" t="s">
        <v>41</v>
      </c>
      <c r="G81" s="4" t="s">
        <v>42</v>
      </c>
      <c r="H81" s="4" t="s">
        <v>2</v>
      </c>
      <c r="I81" s="4" t="s">
        <v>2</v>
      </c>
      <c r="J81" s="4"/>
    </row>
    <row r="82" spans="1:10" x14ac:dyDescent="0.25">
      <c r="A82" s="4" t="s">
        <v>197</v>
      </c>
      <c r="B82" s="4" t="s">
        <v>23</v>
      </c>
      <c r="C82" s="4" t="s">
        <v>198</v>
      </c>
      <c r="D82" s="4" t="s">
        <v>2</v>
      </c>
      <c r="E82" s="4" t="s">
        <v>40</v>
      </c>
      <c r="F82" s="4" t="s">
        <v>41</v>
      </c>
      <c r="G82" s="4" t="s">
        <v>42</v>
      </c>
      <c r="H82" s="4" t="s">
        <v>2</v>
      </c>
      <c r="I82" s="4" t="s">
        <v>2</v>
      </c>
      <c r="J82" s="4"/>
    </row>
    <row r="83" spans="1:10" x14ac:dyDescent="0.25">
      <c r="A83" s="4" t="s">
        <v>199</v>
      </c>
      <c r="B83" s="4" t="s">
        <v>23</v>
      </c>
      <c r="C83" s="4" t="s">
        <v>200</v>
      </c>
      <c r="D83" s="4" t="s">
        <v>2</v>
      </c>
      <c r="E83" s="4" t="s">
        <v>40</v>
      </c>
      <c r="F83" s="4" t="s">
        <v>41</v>
      </c>
      <c r="G83" s="4" t="s">
        <v>42</v>
      </c>
      <c r="H83" s="4" t="s">
        <v>2</v>
      </c>
      <c r="I83" s="4" t="s">
        <v>2</v>
      </c>
      <c r="J83" s="4"/>
    </row>
    <row r="84" spans="1:10" x14ac:dyDescent="0.25">
      <c r="A84" s="4" t="s">
        <v>201</v>
      </c>
      <c r="B84" s="4" t="s">
        <v>23</v>
      </c>
      <c r="C84" s="4" t="s">
        <v>202</v>
      </c>
      <c r="D84" s="4" t="s">
        <v>2</v>
      </c>
      <c r="E84" s="4" t="s">
        <v>40</v>
      </c>
      <c r="F84" s="4" t="s">
        <v>41</v>
      </c>
      <c r="G84" s="4" t="s">
        <v>42</v>
      </c>
      <c r="H84" s="4" t="s">
        <v>2</v>
      </c>
      <c r="I84" s="4" t="s">
        <v>2</v>
      </c>
      <c r="J84" s="4"/>
    </row>
    <row r="85" spans="1:10" x14ac:dyDescent="0.25">
      <c r="A85" s="4" t="s">
        <v>203</v>
      </c>
      <c r="B85" s="4" t="s">
        <v>23</v>
      </c>
      <c r="C85" s="4" t="s">
        <v>204</v>
      </c>
      <c r="D85" s="4" t="s">
        <v>2</v>
      </c>
      <c r="E85" s="4" t="s">
        <v>40</v>
      </c>
      <c r="F85" s="4" t="s">
        <v>41</v>
      </c>
      <c r="G85" s="4" t="s">
        <v>42</v>
      </c>
      <c r="H85" s="4" t="s">
        <v>2</v>
      </c>
      <c r="I85" s="4" t="s">
        <v>2</v>
      </c>
      <c r="J85" s="4"/>
    </row>
    <row r="86" spans="1:10" x14ac:dyDescent="0.25">
      <c r="A86" s="4" t="s">
        <v>205</v>
      </c>
      <c r="B86" s="4" t="s">
        <v>24</v>
      </c>
      <c r="C86" s="4" t="s">
        <v>206</v>
      </c>
      <c r="D86" s="4" t="s">
        <v>2</v>
      </c>
      <c r="E86" s="4" t="s">
        <v>40</v>
      </c>
      <c r="F86" s="4" t="s">
        <v>41</v>
      </c>
      <c r="G86" s="4" t="s">
        <v>42</v>
      </c>
      <c r="H86" s="4" t="s">
        <v>2</v>
      </c>
      <c r="I86" s="4" t="s">
        <v>2</v>
      </c>
      <c r="J86" s="4"/>
    </row>
    <row r="87" spans="1:10" x14ac:dyDescent="0.25">
      <c r="A87" s="4" t="s">
        <v>207</v>
      </c>
      <c r="B87" s="4" t="s">
        <v>24</v>
      </c>
      <c r="C87" s="4" t="s">
        <v>208</v>
      </c>
      <c r="D87" s="4" t="s">
        <v>2</v>
      </c>
      <c r="E87" s="4" t="s">
        <v>40</v>
      </c>
      <c r="F87" s="4" t="s">
        <v>41</v>
      </c>
      <c r="G87" s="4" t="s">
        <v>42</v>
      </c>
      <c r="H87" s="4" t="s">
        <v>2</v>
      </c>
      <c r="I87" s="4" t="s">
        <v>2</v>
      </c>
      <c r="J87" s="4"/>
    </row>
    <row r="88" spans="1:10" x14ac:dyDescent="0.25">
      <c r="A88" s="4" t="s">
        <v>209</v>
      </c>
      <c r="B88" s="4" t="s">
        <v>24</v>
      </c>
      <c r="C88" s="4" t="s">
        <v>210</v>
      </c>
      <c r="D88" s="4" t="s">
        <v>2</v>
      </c>
      <c r="E88" s="4" t="s">
        <v>40</v>
      </c>
      <c r="F88" s="4" t="s">
        <v>41</v>
      </c>
      <c r="G88" s="4" t="s">
        <v>42</v>
      </c>
      <c r="H88" s="4" t="s">
        <v>2</v>
      </c>
      <c r="I88" s="4" t="s">
        <v>2</v>
      </c>
      <c r="J88" s="4"/>
    </row>
    <row r="89" spans="1:10" x14ac:dyDescent="0.25">
      <c r="A89" s="4" t="s">
        <v>211</v>
      </c>
      <c r="B89" s="4" t="s">
        <v>24</v>
      </c>
      <c r="C89" s="4" t="s">
        <v>212</v>
      </c>
      <c r="D89" s="4" t="s">
        <v>2</v>
      </c>
      <c r="E89" s="4" t="s">
        <v>40</v>
      </c>
      <c r="F89" s="4" t="s">
        <v>41</v>
      </c>
      <c r="G89" s="4" t="s">
        <v>42</v>
      </c>
      <c r="H89" s="4" t="s">
        <v>2</v>
      </c>
      <c r="I89" s="4" t="s">
        <v>2</v>
      </c>
      <c r="J89" s="4"/>
    </row>
    <row r="90" spans="1:10" x14ac:dyDescent="0.25">
      <c r="A90" s="4" t="s">
        <v>213</v>
      </c>
      <c r="B90" s="4" t="s">
        <v>24</v>
      </c>
      <c r="C90" s="4" t="s">
        <v>214</v>
      </c>
      <c r="D90" s="4" t="s">
        <v>2</v>
      </c>
      <c r="E90" s="4" t="s">
        <v>40</v>
      </c>
      <c r="F90" s="4" t="s">
        <v>41</v>
      </c>
      <c r="G90" s="4" t="s">
        <v>42</v>
      </c>
      <c r="H90" s="4" t="s">
        <v>2</v>
      </c>
      <c r="I90" s="4" t="s">
        <v>2</v>
      </c>
      <c r="J90" s="4"/>
    </row>
    <row r="91" spans="1:10" x14ac:dyDescent="0.25">
      <c r="A91" s="4" t="s">
        <v>215</v>
      </c>
      <c r="B91" s="4" t="s">
        <v>24</v>
      </c>
      <c r="C91" s="4" t="s">
        <v>216</v>
      </c>
      <c r="D91" s="4" t="s">
        <v>2</v>
      </c>
      <c r="E91" s="4" t="s">
        <v>40</v>
      </c>
      <c r="F91" s="4" t="s">
        <v>41</v>
      </c>
      <c r="G91" s="4" t="s">
        <v>42</v>
      </c>
      <c r="H91" s="4" t="s">
        <v>2</v>
      </c>
      <c r="I91" s="4" t="s">
        <v>2</v>
      </c>
      <c r="J91" s="4"/>
    </row>
    <row r="92" spans="1:10" x14ac:dyDescent="0.25">
      <c r="A92" s="4" t="s">
        <v>217</v>
      </c>
      <c r="B92" s="4" t="s">
        <v>24</v>
      </c>
      <c r="C92" s="4" t="s">
        <v>218</v>
      </c>
      <c r="D92" s="4" t="s">
        <v>2</v>
      </c>
      <c r="E92" s="4" t="s">
        <v>40</v>
      </c>
      <c r="F92" s="4" t="s">
        <v>41</v>
      </c>
      <c r="G92" s="4" t="s">
        <v>42</v>
      </c>
      <c r="H92" s="4" t="s">
        <v>2</v>
      </c>
      <c r="I92" s="4" t="s">
        <v>2</v>
      </c>
      <c r="J92" s="4"/>
    </row>
    <row r="93" spans="1:10" x14ac:dyDescent="0.25">
      <c r="A93" s="4" t="s">
        <v>219</v>
      </c>
      <c r="B93" s="4" t="s">
        <v>24</v>
      </c>
      <c r="C93" s="4" t="s">
        <v>220</v>
      </c>
      <c r="D93" s="4" t="s">
        <v>2</v>
      </c>
      <c r="E93" s="4" t="s">
        <v>40</v>
      </c>
      <c r="F93" s="4" t="s">
        <v>41</v>
      </c>
      <c r="G93" s="4" t="s">
        <v>42</v>
      </c>
      <c r="H93" s="4" t="s">
        <v>2</v>
      </c>
      <c r="I93" s="4" t="s">
        <v>2</v>
      </c>
      <c r="J93" s="4"/>
    </row>
    <row r="94" spans="1:10" x14ac:dyDescent="0.25">
      <c r="A94" s="4" t="s">
        <v>221</v>
      </c>
      <c r="B94" s="4" t="s">
        <v>24</v>
      </c>
      <c r="C94" s="4" t="s">
        <v>222</v>
      </c>
      <c r="D94" s="4" t="s">
        <v>2</v>
      </c>
      <c r="E94" s="4" t="s">
        <v>40</v>
      </c>
      <c r="F94" s="4" t="s">
        <v>41</v>
      </c>
      <c r="G94" s="4" t="s">
        <v>42</v>
      </c>
      <c r="H94" s="4" t="s">
        <v>2</v>
      </c>
      <c r="I94" s="4" t="s">
        <v>2</v>
      </c>
      <c r="J94" s="4"/>
    </row>
    <row r="95" spans="1:10" x14ac:dyDescent="0.25">
      <c r="A95" s="4" t="s">
        <v>223</v>
      </c>
      <c r="B95" s="4" t="s">
        <v>25</v>
      </c>
      <c r="C95" s="4" t="s">
        <v>224</v>
      </c>
      <c r="D95" s="4" t="s">
        <v>2</v>
      </c>
      <c r="E95" s="4" t="s">
        <v>40</v>
      </c>
      <c r="F95" s="4" t="s">
        <v>41</v>
      </c>
      <c r="G95" s="4" t="s">
        <v>42</v>
      </c>
      <c r="H95" s="4" t="s">
        <v>2</v>
      </c>
      <c r="I95" s="4" t="s">
        <v>2</v>
      </c>
      <c r="J95" s="4"/>
    </row>
    <row r="96" spans="1:10" x14ac:dyDescent="0.25">
      <c r="A96" s="4" t="s">
        <v>225</v>
      </c>
      <c r="B96" s="4" t="s">
        <v>25</v>
      </c>
      <c r="C96" s="4" t="s">
        <v>226</v>
      </c>
      <c r="D96" s="4" t="s">
        <v>2</v>
      </c>
      <c r="E96" s="4" t="s">
        <v>40</v>
      </c>
      <c r="F96" s="4" t="s">
        <v>41</v>
      </c>
      <c r="G96" s="4" t="s">
        <v>42</v>
      </c>
      <c r="H96" s="4" t="s">
        <v>2</v>
      </c>
      <c r="I96" s="4" t="s">
        <v>2</v>
      </c>
      <c r="J96" s="4"/>
    </row>
    <row r="97" spans="1:10" x14ac:dyDescent="0.25">
      <c r="A97" s="4" t="s">
        <v>227</v>
      </c>
      <c r="B97" s="4" t="s">
        <v>25</v>
      </c>
      <c r="C97" s="4" t="s">
        <v>228</v>
      </c>
      <c r="D97" s="4" t="s">
        <v>2</v>
      </c>
      <c r="E97" s="4" t="s">
        <v>40</v>
      </c>
      <c r="F97" s="4" t="s">
        <v>41</v>
      </c>
      <c r="G97" s="4" t="s">
        <v>42</v>
      </c>
      <c r="H97" s="4" t="s">
        <v>2</v>
      </c>
      <c r="I97" s="4" t="s">
        <v>2</v>
      </c>
      <c r="J97" s="4"/>
    </row>
    <row r="98" spans="1:10" x14ac:dyDescent="0.25">
      <c r="A98" s="4" t="s">
        <v>229</v>
      </c>
      <c r="B98" s="4" t="s">
        <v>25</v>
      </c>
      <c r="C98" s="4" t="s">
        <v>230</v>
      </c>
      <c r="D98" s="4" t="s">
        <v>2</v>
      </c>
      <c r="E98" s="4" t="s">
        <v>40</v>
      </c>
      <c r="F98" s="4" t="s">
        <v>41</v>
      </c>
      <c r="G98" s="4" t="s">
        <v>42</v>
      </c>
      <c r="H98" s="4" t="s">
        <v>2</v>
      </c>
      <c r="I98" s="4" t="s">
        <v>2</v>
      </c>
      <c r="J98" s="4"/>
    </row>
    <row r="99" spans="1:10" x14ac:dyDescent="0.25">
      <c r="A99" s="4" t="s">
        <v>231</v>
      </c>
      <c r="B99" s="4" t="s">
        <v>25</v>
      </c>
      <c r="C99" s="4" t="s">
        <v>232</v>
      </c>
      <c r="D99" s="4" t="s">
        <v>2</v>
      </c>
      <c r="E99" s="4" t="s">
        <v>40</v>
      </c>
      <c r="F99" s="4" t="s">
        <v>41</v>
      </c>
      <c r="G99" s="4" t="s">
        <v>42</v>
      </c>
      <c r="H99" s="4" t="s">
        <v>2</v>
      </c>
      <c r="I99" s="4" t="s">
        <v>2</v>
      </c>
      <c r="J99" s="4"/>
    </row>
    <row r="100" spans="1:10" x14ac:dyDescent="0.25">
      <c r="A100" s="4" t="s">
        <v>233</v>
      </c>
      <c r="B100" s="4" t="s">
        <v>25</v>
      </c>
      <c r="C100" s="4" t="s">
        <v>234</v>
      </c>
      <c r="D100" s="4" t="s">
        <v>2</v>
      </c>
      <c r="E100" s="4" t="s">
        <v>40</v>
      </c>
      <c r="F100" s="4" t="s">
        <v>41</v>
      </c>
      <c r="G100" s="4" t="s">
        <v>42</v>
      </c>
      <c r="H100" s="4" t="s">
        <v>2</v>
      </c>
      <c r="I100" s="4" t="s">
        <v>2</v>
      </c>
      <c r="J100" s="4"/>
    </row>
    <row r="101" spans="1:10" x14ac:dyDescent="0.25">
      <c r="A101" s="4" t="s">
        <v>235</v>
      </c>
      <c r="B101" s="4" t="s">
        <v>25</v>
      </c>
      <c r="C101" s="4" t="s">
        <v>236</v>
      </c>
      <c r="D101" s="4" t="s">
        <v>2</v>
      </c>
      <c r="E101" s="4" t="s">
        <v>40</v>
      </c>
      <c r="F101" s="4" t="s">
        <v>41</v>
      </c>
      <c r="G101" s="4" t="s">
        <v>42</v>
      </c>
      <c r="H101" s="4" t="s">
        <v>2</v>
      </c>
      <c r="I101" s="4" t="s">
        <v>2</v>
      </c>
      <c r="J101" s="4"/>
    </row>
    <row r="102" spans="1:10" x14ac:dyDescent="0.25">
      <c r="A102" s="4" t="s">
        <v>237</v>
      </c>
      <c r="B102" s="4" t="s">
        <v>25</v>
      </c>
      <c r="C102" s="4" t="s">
        <v>238</v>
      </c>
      <c r="D102" s="4" t="s">
        <v>2</v>
      </c>
      <c r="E102" s="4" t="s">
        <v>40</v>
      </c>
      <c r="F102" s="4" t="s">
        <v>41</v>
      </c>
      <c r="G102" s="4" t="s">
        <v>42</v>
      </c>
      <c r="H102" s="4" t="s">
        <v>2</v>
      </c>
      <c r="I102" s="4" t="s">
        <v>2</v>
      </c>
      <c r="J102" s="4"/>
    </row>
    <row r="103" spans="1:10" x14ac:dyDescent="0.25">
      <c r="A103" s="4" t="s">
        <v>239</v>
      </c>
      <c r="B103" s="4" t="s">
        <v>25</v>
      </c>
      <c r="C103" s="4" t="s">
        <v>240</v>
      </c>
      <c r="D103" s="4" t="s">
        <v>2</v>
      </c>
      <c r="E103" s="4" t="s">
        <v>40</v>
      </c>
      <c r="F103" s="4" t="s">
        <v>41</v>
      </c>
      <c r="G103" s="4" t="s">
        <v>42</v>
      </c>
      <c r="H103" s="4" t="s">
        <v>2</v>
      </c>
      <c r="I103" s="4" t="s">
        <v>2</v>
      </c>
      <c r="J103" s="4"/>
    </row>
    <row r="104" spans="1:10" x14ac:dyDescent="0.25">
      <c r="A104" s="4" t="s">
        <v>241</v>
      </c>
      <c r="B104" s="4" t="s">
        <v>25</v>
      </c>
      <c r="C104" s="4" t="s">
        <v>242</v>
      </c>
      <c r="D104" s="4" t="s">
        <v>2</v>
      </c>
      <c r="E104" s="4" t="s">
        <v>40</v>
      </c>
      <c r="F104" s="4" t="s">
        <v>41</v>
      </c>
      <c r="G104" s="4" t="s">
        <v>42</v>
      </c>
      <c r="H104" s="4" t="s">
        <v>2</v>
      </c>
      <c r="I104" s="4" t="s">
        <v>2</v>
      </c>
      <c r="J104" s="4"/>
    </row>
    <row r="105" spans="1:10" x14ac:dyDescent="0.25">
      <c r="A105" s="4" t="s">
        <v>243</v>
      </c>
      <c r="B105" s="4" t="s">
        <v>26</v>
      </c>
      <c r="C105" s="4" t="s">
        <v>244</v>
      </c>
      <c r="D105" s="4" t="s">
        <v>2</v>
      </c>
      <c r="E105" s="4" t="s">
        <v>40</v>
      </c>
      <c r="F105" s="4" t="s">
        <v>41</v>
      </c>
      <c r="G105" s="4" t="s">
        <v>42</v>
      </c>
      <c r="H105" s="4" t="s">
        <v>2</v>
      </c>
      <c r="I105" s="4" t="s">
        <v>2</v>
      </c>
      <c r="J105" s="4"/>
    </row>
    <row r="106" spans="1:10" x14ac:dyDescent="0.25">
      <c r="A106" s="4" t="s">
        <v>245</v>
      </c>
      <c r="B106" s="4" t="s">
        <v>26</v>
      </c>
      <c r="C106" s="4" t="s">
        <v>206</v>
      </c>
      <c r="D106" s="4" t="s">
        <v>2</v>
      </c>
      <c r="E106" s="4" t="s">
        <v>40</v>
      </c>
      <c r="F106" s="4" t="s">
        <v>41</v>
      </c>
      <c r="G106" s="4" t="s">
        <v>42</v>
      </c>
      <c r="H106" s="4" t="s">
        <v>2</v>
      </c>
      <c r="I106" s="4" t="s">
        <v>2</v>
      </c>
      <c r="J106" s="4"/>
    </row>
    <row r="107" spans="1:10" x14ac:dyDescent="0.25">
      <c r="A107" s="4" t="s">
        <v>246</v>
      </c>
      <c r="B107" s="4" t="s">
        <v>26</v>
      </c>
      <c r="C107" s="4" t="s">
        <v>247</v>
      </c>
      <c r="D107" s="4" t="s">
        <v>2</v>
      </c>
      <c r="E107" s="4" t="s">
        <v>40</v>
      </c>
      <c r="F107" s="4" t="s">
        <v>41</v>
      </c>
      <c r="G107" s="4" t="s">
        <v>42</v>
      </c>
      <c r="H107" s="4" t="s">
        <v>2</v>
      </c>
      <c r="I107" s="4" t="s">
        <v>2</v>
      </c>
      <c r="J107" s="4"/>
    </row>
    <row r="108" spans="1:10" x14ac:dyDescent="0.25">
      <c r="A108" s="4" t="s">
        <v>248</v>
      </c>
      <c r="B108" s="4" t="s">
        <v>26</v>
      </c>
      <c r="C108" s="4" t="s">
        <v>249</v>
      </c>
      <c r="D108" s="4" t="s">
        <v>2</v>
      </c>
      <c r="E108" s="4" t="s">
        <v>40</v>
      </c>
      <c r="F108" s="4" t="s">
        <v>41</v>
      </c>
      <c r="G108" s="4" t="s">
        <v>42</v>
      </c>
      <c r="H108" s="4" t="s">
        <v>2</v>
      </c>
      <c r="I108" s="4" t="s">
        <v>2</v>
      </c>
      <c r="J108" s="4"/>
    </row>
    <row r="109" spans="1:10" x14ac:dyDescent="0.25">
      <c r="A109" s="4" t="s">
        <v>250</v>
      </c>
      <c r="B109" s="4" t="s">
        <v>26</v>
      </c>
      <c r="C109" s="4" t="s">
        <v>251</v>
      </c>
      <c r="D109" s="4" t="s">
        <v>2</v>
      </c>
      <c r="E109" s="4" t="s">
        <v>40</v>
      </c>
      <c r="F109" s="4" t="s">
        <v>41</v>
      </c>
      <c r="G109" s="4" t="s">
        <v>42</v>
      </c>
      <c r="H109" s="4" t="s">
        <v>2</v>
      </c>
      <c r="I109" s="4" t="s">
        <v>2</v>
      </c>
      <c r="J109" s="4"/>
    </row>
    <row r="110" spans="1:10" x14ac:dyDescent="0.25">
      <c r="A110" s="4" t="s">
        <v>252</v>
      </c>
      <c r="B110" s="4" t="s">
        <v>26</v>
      </c>
      <c r="C110" s="4" t="s">
        <v>253</v>
      </c>
      <c r="D110" s="4" t="s">
        <v>2</v>
      </c>
      <c r="E110" s="4" t="s">
        <v>40</v>
      </c>
      <c r="F110" s="4" t="s">
        <v>41</v>
      </c>
      <c r="G110" s="4" t="s">
        <v>42</v>
      </c>
      <c r="H110" s="4" t="s">
        <v>2</v>
      </c>
      <c r="I110" s="4" t="s">
        <v>2</v>
      </c>
      <c r="J110" s="4"/>
    </row>
    <row r="111" spans="1:10" x14ac:dyDescent="0.25">
      <c r="A111" s="4" t="s">
        <v>254</v>
      </c>
      <c r="B111" s="4" t="s">
        <v>26</v>
      </c>
      <c r="C111" s="4" t="s">
        <v>255</v>
      </c>
      <c r="D111" s="4" t="s">
        <v>2</v>
      </c>
      <c r="E111" s="4" t="s">
        <v>40</v>
      </c>
      <c r="F111" s="4" t="s">
        <v>41</v>
      </c>
      <c r="G111" s="4" t="s">
        <v>42</v>
      </c>
      <c r="H111" s="4" t="s">
        <v>2</v>
      </c>
      <c r="I111" s="4" t="s">
        <v>2</v>
      </c>
      <c r="J111" s="4"/>
    </row>
    <row r="112" spans="1:10" x14ac:dyDescent="0.25">
      <c r="A112" s="4" t="s">
        <v>256</v>
      </c>
      <c r="B112" s="4" t="s">
        <v>26</v>
      </c>
      <c r="C112" s="4" t="s">
        <v>257</v>
      </c>
      <c r="D112" s="4" t="s">
        <v>2</v>
      </c>
      <c r="E112" s="4" t="s">
        <v>40</v>
      </c>
      <c r="F112" s="4" t="s">
        <v>41</v>
      </c>
      <c r="G112" s="4" t="s">
        <v>42</v>
      </c>
      <c r="H112" s="4" t="s">
        <v>2</v>
      </c>
      <c r="I112" s="4" t="s">
        <v>2</v>
      </c>
      <c r="J112" s="4"/>
    </row>
    <row r="113" spans="1:10" x14ac:dyDescent="0.25">
      <c r="A113" s="4" t="s">
        <v>258</v>
      </c>
      <c r="B113" s="4" t="s">
        <v>26</v>
      </c>
      <c r="C113" s="4" t="s">
        <v>259</v>
      </c>
      <c r="D113" s="4" t="s">
        <v>2</v>
      </c>
      <c r="E113" s="4" t="s">
        <v>40</v>
      </c>
      <c r="F113" s="4" t="s">
        <v>41</v>
      </c>
      <c r="G113" s="4" t="s">
        <v>42</v>
      </c>
      <c r="H113" s="4" t="s">
        <v>2</v>
      </c>
      <c r="I113" s="4" t="s">
        <v>2</v>
      </c>
      <c r="J113" s="4"/>
    </row>
    <row r="114" spans="1:10" x14ac:dyDescent="0.25">
      <c r="A114" s="4" t="s">
        <v>260</v>
      </c>
      <c r="B114" s="4" t="s">
        <v>26</v>
      </c>
      <c r="C114" s="4" t="s">
        <v>261</v>
      </c>
      <c r="D114" s="4" t="s">
        <v>2</v>
      </c>
      <c r="E114" s="4" t="s">
        <v>40</v>
      </c>
      <c r="F114" s="4" t="s">
        <v>41</v>
      </c>
      <c r="G114" s="4" t="s">
        <v>42</v>
      </c>
      <c r="H114" s="4" t="s">
        <v>2</v>
      </c>
      <c r="I114" s="4" t="s">
        <v>2</v>
      </c>
      <c r="J114" s="4"/>
    </row>
    <row r="115" spans="1:10" x14ac:dyDescent="0.25">
      <c r="A115" s="4" t="s">
        <v>262</v>
      </c>
      <c r="B115" s="4" t="s">
        <v>27</v>
      </c>
      <c r="C115" s="4" t="s">
        <v>263</v>
      </c>
      <c r="D115" s="4" t="s">
        <v>2</v>
      </c>
      <c r="E115" s="4" t="s">
        <v>40</v>
      </c>
      <c r="F115" s="4" t="s">
        <v>41</v>
      </c>
      <c r="G115" s="4" t="s">
        <v>42</v>
      </c>
      <c r="H115" s="4" t="s">
        <v>2</v>
      </c>
      <c r="I115" s="4" t="s">
        <v>2</v>
      </c>
      <c r="J115" s="4"/>
    </row>
    <row r="116" spans="1:10" x14ac:dyDescent="0.25">
      <c r="A116" s="4" t="s">
        <v>264</v>
      </c>
      <c r="B116" s="4" t="s">
        <v>27</v>
      </c>
      <c r="C116" s="4" t="s">
        <v>265</v>
      </c>
      <c r="D116" s="4" t="s">
        <v>2</v>
      </c>
      <c r="E116" s="4" t="s">
        <v>40</v>
      </c>
      <c r="F116" s="4" t="s">
        <v>41</v>
      </c>
      <c r="G116" s="4" t="s">
        <v>42</v>
      </c>
      <c r="H116" s="4" t="s">
        <v>2</v>
      </c>
      <c r="I116" s="4" t="s">
        <v>2</v>
      </c>
      <c r="J116" s="4"/>
    </row>
    <row r="117" spans="1:10" x14ac:dyDescent="0.25">
      <c r="A117" s="4" t="s">
        <v>266</v>
      </c>
      <c r="B117" s="4" t="s">
        <v>27</v>
      </c>
      <c r="C117" s="4" t="s">
        <v>267</v>
      </c>
      <c r="D117" s="4" t="s">
        <v>2</v>
      </c>
      <c r="E117" s="4" t="s">
        <v>40</v>
      </c>
      <c r="F117" s="4" t="s">
        <v>41</v>
      </c>
      <c r="G117" s="4" t="s">
        <v>42</v>
      </c>
      <c r="H117" s="4" t="s">
        <v>2</v>
      </c>
      <c r="I117" s="4" t="s">
        <v>2</v>
      </c>
      <c r="J117" s="4"/>
    </row>
    <row r="118" spans="1:10" x14ac:dyDescent="0.25">
      <c r="A118" s="4" t="s">
        <v>268</v>
      </c>
      <c r="B118" s="4" t="s">
        <v>27</v>
      </c>
      <c r="C118" s="4" t="s">
        <v>269</v>
      </c>
      <c r="D118" s="4" t="s">
        <v>2</v>
      </c>
      <c r="E118" s="4" t="s">
        <v>40</v>
      </c>
      <c r="F118" s="4" t="s">
        <v>41</v>
      </c>
      <c r="G118" s="4" t="s">
        <v>42</v>
      </c>
      <c r="H118" s="4" t="s">
        <v>2</v>
      </c>
      <c r="I118" s="4" t="s">
        <v>2</v>
      </c>
      <c r="J118" s="4"/>
    </row>
    <row r="119" spans="1:10" x14ac:dyDescent="0.25">
      <c r="A119" s="4" t="s">
        <v>270</v>
      </c>
      <c r="B119" s="4" t="s">
        <v>27</v>
      </c>
      <c r="C119" s="4" t="s">
        <v>271</v>
      </c>
      <c r="D119" s="4" t="s">
        <v>2</v>
      </c>
      <c r="E119" s="4" t="s">
        <v>40</v>
      </c>
      <c r="F119" s="4" t="s">
        <v>41</v>
      </c>
      <c r="G119" s="4" t="s">
        <v>42</v>
      </c>
      <c r="H119" s="4" t="s">
        <v>2</v>
      </c>
      <c r="I119" s="4" t="s">
        <v>2</v>
      </c>
      <c r="J119" s="4"/>
    </row>
    <row r="120" spans="1:10" x14ac:dyDescent="0.25">
      <c r="A120" s="4" t="s">
        <v>272</v>
      </c>
      <c r="B120" s="4" t="s">
        <v>27</v>
      </c>
      <c r="C120" s="4" t="s">
        <v>273</v>
      </c>
      <c r="D120" s="4" t="s">
        <v>2</v>
      </c>
      <c r="E120" s="4" t="s">
        <v>40</v>
      </c>
      <c r="F120" s="4" t="s">
        <v>41</v>
      </c>
      <c r="G120" s="4" t="s">
        <v>42</v>
      </c>
      <c r="H120" s="4" t="s">
        <v>2</v>
      </c>
      <c r="I120" s="4" t="s">
        <v>2</v>
      </c>
      <c r="J120" s="4"/>
    </row>
    <row r="121" spans="1:10" x14ac:dyDescent="0.25">
      <c r="A121" s="4" t="s">
        <v>274</v>
      </c>
      <c r="B121" s="4" t="s">
        <v>27</v>
      </c>
      <c r="C121" s="4" t="s">
        <v>275</v>
      </c>
      <c r="D121" s="4" t="s">
        <v>2</v>
      </c>
      <c r="E121" s="4" t="s">
        <v>40</v>
      </c>
      <c r="F121" s="4" t="s">
        <v>41</v>
      </c>
      <c r="G121" s="4" t="s">
        <v>42</v>
      </c>
      <c r="H121" s="4" t="s">
        <v>2</v>
      </c>
      <c r="I121" s="4" t="s">
        <v>2</v>
      </c>
      <c r="J121" s="4"/>
    </row>
    <row r="122" spans="1:10" x14ac:dyDescent="0.25">
      <c r="A122" s="4" t="s">
        <v>276</v>
      </c>
      <c r="B122" s="4" t="s">
        <v>27</v>
      </c>
      <c r="C122" s="4" t="s">
        <v>277</v>
      </c>
      <c r="D122" s="4" t="s">
        <v>2</v>
      </c>
      <c r="E122" s="4" t="s">
        <v>40</v>
      </c>
      <c r="F122" s="4" t="s">
        <v>41</v>
      </c>
      <c r="G122" s="4" t="s">
        <v>42</v>
      </c>
      <c r="H122" s="4" t="s">
        <v>2</v>
      </c>
      <c r="I122" s="4" t="s">
        <v>2</v>
      </c>
      <c r="J122" s="4"/>
    </row>
    <row r="123" spans="1:10" x14ac:dyDescent="0.25">
      <c r="A123" s="4" t="s">
        <v>278</v>
      </c>
      <c r="B123" s="4" t="s">
        <v>28</v>
      </c>
      <c r="C123" s="4" t="s">
        <v>200</v>
      </c>
      <c r="D123" s="4" t="s">
        <v>2</v>
      </c>
      <c r="E123" s="4" t="s">
        <v>40</v>
      </c>
      <c r="F123" s="4" t="s">
        <v>41</v>
      </c>
      <c r="G123" s="4" t="s">
        <v>42</v>
      </c>
      <c r="H123" s="4" t="s">
        <v>2</v>
      </c>
      <c r="I123" s="4" t="s">
        <v>2</v>
      </c>
      <c r="J123" s="4"/>
    </row>
    <row r="124" spans="1:10" x14ac:dyDescent="0.25">
      <c r="A124" s="4" t="s">
        <v>279</v>
      </c>
      <c r="B124" s="4" t="s">
        <v>28</v>
      </c>
      <c r="C124" s="4" t="s">
        <v>196</v>
      </c>
      <c r="D124" s="4" t="s">
        <v>2</v>
      </c>
      <c r="E124" s="4" t="s">
        <v>40</v>
      </c>
      <c r="F124" s="4" t="s">
        <v>41</v>
      </c>
      <c r="G124" s="4" t="s">
        <v>42</v>
      </c>
      <c r="H124" s="4" t="s">
        <v>2</v>
      </c>
      <c r="I124" s="4" t="s">
        <v>2</v>
      </c>
      <c r="J124" s="4"/>
    </row>
    <row r="125" spans="1:10" x14ac:dyDescent="0.25">
      <c r="A125" s="4" t="s">
        <v>280</v>
      </c>
      <c r="B125" s="4" t="s">
        <v>28</v>
      </c>
      <c r="C125" s="4" t="s">
        <v>198</v>
      </c>
      <c r="D125" s="4" t="s">
        <v>2</v>
      </c>
      <c r="E125" s="4" t="s">
        <v>40</v>
      </c>
      <c r="F125" s="4" t="s">
        <v>41</v>
      </c>
      <c r="G125" s="4" t="s">
        <v>42</v>
      </c>
      <c r="H125" s="4" t="s">
        <v>2</v>
      </c>
      <c r="I125" s="4" t="s">
        <v>2</v>
      </c>
      <c r="J125" s="4"/>
    </row>
    <row r="126" spans="1:10" x14ac:dyDescent="0.25">
      <c r="A126" s="4" t="s">
        <v>281</v>
      </c>
      <c r="B126" s="4" t="s">
        <v>28</v>
      </c>
      <c r="C126" s="4" t="s">
        <v>282</v>
      </c>
      <c r="D126" s="4" t="s">
        <v>2</v>
      </c>
      <c r="E126" s="4" t="s">
        <v>40</v>
      </c>
      <c r="F126" s="4" t="s">
        <v>41</v>
      </c>
      <c r="G126" s="4" t="s">
        <v>42</v>
      </c>
      <c r="H126" s="4" t="s">
        <v>2</v>
      </c>
      <c r="I126" s="4" t="s">
        <v>2</v>
      </c>
      <c r="J126" s="4"/>
    </row>
    <row r="127" spans="1:10" x14ac:dyDescent="0.25">
      <c r="A127" s="4" t="s">
        <v>283</v>
      </c>
      <c r="B127" s="4" t="s">
        <v>28</v>
      </c>
      <c r="C127" s="4" t="s">
        <v>284</v>
      </c>
      <c r="D127" s="4" t="s">
        <v>2</v>
      </c>
      <c r="E127" s="4" t="s">
        <v>40</v>
      </c>
      <c r="F127" s="4" t="s">
        <v>41</v>
      </c>
      <c r="G127" s="4" t="s">
        <v>42</v>
      </c>
      <c r="H127" s="4" t="s">
        <v>2</v>
      </c>
      <c r="I127" s="4" t="s">
        <v>2</v>
      </c>
      <c r="J127" s="4"/>
    </row>
    <row r="128" spans="1:10" x14ac:dyDescent="0.25">
      <c r="A128" s="4" t="s">
        <v>285</v>
      </c>
      <c r="B128" s="4" t="s">
        <v>28</v>
      </c>
      <c r="C128" s="4" t="s">
        <v>286</v>
      </c>
      <c r="D128" s="4" t="s">
        <v>2</v>
      </c>
      <c r="E128" s="4" t="s">
        <v>40</v>
      </c>
      <c r="F128" s="4" t="s">
        <v>41</v>
      </c>
      <c r="G128" s="4" t="s">
        <v>42</v>
      </c>
      <c r="H128" s="4" t="s">
        <v>2</v>
      </c>
      <c r="I128" s="4" t="s">
        <v>2</v>
      </c>
      <c r="J128" s="4"/>
    </row>
    <row r="129" spans="1:10" x14ac:dyDescent="0.25">
      <c r="A129" s="4" t="s">
        <v>287</v>
      </c>
      <c r="B129" s="4" t="s">
        <v>28</v>
      </c>
      <c r="C129" s="4" t="s">
        <v>288</v>
      </c>
      <c r="D129" s="4" t="s">
        <v>2</v>
      </c>
      <c r="E129" s="4" t="s">
        <v>40</v>
      </c>
      <c r="F129" s="4" t="s">
        <v>41</v>
      </c>
      <c r="G129" s="4" t="s">
        <v>42</v>
      </c>
      <c r="H129" s="4" t="s">
        <v>2</v>
      </c>
      <c r="I129" s="4" t="s">
        <v>2</v>
      </c>
      <c r="J129" s="4"/>
    </row>
    <row r="130" spans="1:10" x14ac:dyDescent="0.25">
      <c r="A130" s="4" t="s">
        <v>289</v>
      </c>
      <c r="B130" s="4" t="s">
        <v>28</v>
      </c>
      <c r="C130" s="4" t="s">
        <v>290</v>
      </c>
      <c r="D130" s="4" t="s">
        <v>2</v>
      </c>
      <c r="E130" s="4" t="s">
        <v>40</v>
      </c>
      <c r="F130" s="4" t="s">
        <v>41</v>
      </c>
      <c r="G130" s="4" t="s">
        <v>42</v>
      </c>
      <c r="H130" s="4" t="s">
        <v>2</v>
      </c>
      <c r="I130" s="4" t="s">
        <v>2</v>
      </c>
      <c r="J130" s="4"/>
    </row>
  </sheetData>
  <mergeCells count="1">
    <mergeCell ref="A1:J1"/>
  </mergeCells>
  <conditionalFormatting sqref="F4:F130">
    <cfRule type="expression" dxfId="2" priority="1">
      <formula>F4="RECIBIDO"</formula>
    </cfRule>
    <cfRule type="expression" dxfId="1" priority="2">
      <formula>F4="PENDIENTE"</formula>
    </cfRule>
    <cfRule type="expression" dxfId="0" priority="3">
      <formula>F4="RECIBIDO CON PENDIENTES"</formula>
    </cfRule>
  </conditionalFormatting>
  <dataValidations count="2">
    <dataValidation type="list" sqref="F4:F130" xr:uid="{00000000-0002-0000-0100-000000000000}">
      <formula1>"RECIBIDO,RECIBIDO CON PENDIENTES,EN REVISIÓN,PENDIENTE,NO APLICA"</formula1>
    </dataValidation>
    <dataValidation type="list" sqref="G4:G130" xr:uid="{00000000-0002-0000-0100-000001000000}">
      <formula1>"SI,NO"</formula1>
    </dataValidation>
  </dataValidations>
  <pageMargins left="0.3" right="0.3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3"/>
  <sheetViews>
    <sheetView showGridLines="0" topLeftCell="A3" workbookViewId="0">
      <selection sqref="A1:K1"/>
    </sheetView>
  </sheetViews>
  <sheetFormatPr baseColWidth="10" defaultColWidth="9.140625" defaultRowHeight="15" x14ac:dyDescent="0.25"/>
  <cols>
    <col min="1" max="1" width="30" customWidth="1"/>
    <col min="2" max="2" width="15" customWidth="1"/>
    <col min="3" max="4" width="20" customWidth="1"/>
    <col min="5" max="6" width="18" customWidth="1"/>
    <col min="7" max="7" width="28" customWidth="1"/>
    <col min="8" max="8" width="22" customWidth="1"/>
    <col min="9" max="9" width="18" customWidth="1"/>
    <col min="10" max="10" width="20" customWidth="1"/>
    <col min="11" max="11" width="40" customWidth="1"/>
  </cols>
  <sheetData>
    <row r="1" spans="1:11" ht="30" customHeight="1" x14ac:dyDescent="0.25">
      <c r="A1" s="8" t="s">
        <v>291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30" customHeight="1" x14ac:dyDescent="0.25">
      <c r="A3" s="3" t="s">
        <v>292</v>
      </c>
      <c r="B3" s="3" t="s">
        <v>293</v>
      </c>
      <c r="C3" s="3" t="s">
        <v>294</v>
      </c>
      <c r="D3" s="3" t="s">
        <v>295</v>
      </c>
      <c r="E3" s="3" t="s">
        <v>296</v>
      </c>
      <c r="F3" s="3" t="s">
        <v>297</v>
      </c>
      <c r="G3" s="3" t="s">
        <v>34</v>
      </c>
      <c r="H3" s="3" t="s">
        <v>298</v>
      </c>
      <c r="I3" s="3" t="s">
        <v>299</v>
      </c>
      <c r="J3" s="3" t="s">
        <v>36</v>
      </c>
      <c r="K3" s="3" t="s">
        <v>16</v>
      </c>
    </row>
    <row r="4" spans="1:11" x14ac:dyDescent="0.25">
      <c r="A4" s="4" t="s">
        <v>2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41</v>
      </c>
      <c r="H4" s="4" t="s">
        <v>42</v>
      </c>
      <c r="I4" s="4" t="s">
        <v>42</v>
      </c>
      <c r="J4" s="4" t="s">
        <v>2</v>
      </c>
      <c r="K4" s="4"/>
    </row>
    <row r="5" spans="1:11" x14ac:dyDescent="0.25">
      <c r="A5" s="4" t="s">
        <v>2</v>
      </c>
      <c r="B5" s="4" t="s">
        <v>2</v>
      </c>
      <c r="C5" s="4" t="s">
        <v>2</v>
      </c>
      <c r="D5" s="4" t="s">
        <v>2</v>
      </c>
      <c r="E5" s="4" t="s">
        <v>2</v>
      </c>
      <c r="F5" s="4" t="s">
        <v>2</v>
      </c>
      <c r="G5" s="4" t="s">
        <v>41</v>
      </c>
      <c r="H5" s="4" t="s">
        <v>42</v>
      </c>
      <c r="I5" s="4" t="s">
        <v>42</v>
      </c>
      <c r="J5" s="4" t="s">
        <v>2</v>
      </c>
      <c r="K5" s="4"/>
    </row>
    <row r="6" spans="1:11" x14ac:dyDescent="0.25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41</v>
      </c>
      <c r="H6" s="4" t="s">
        <v>42</v>
      </c>
      <c r="I6" s="4" t="s">
        <v>42</v>
      </c>
      <c r="J6" s="4" t="s">
        <v>2</v>
      </c>
      <c r="K6" s="4"/>
    </row>
    <row r="7" spans="1:11" x14ac:dyDescent="0.25">
      <c r="A7" s="4" t="s">
        <v>2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41</v>
      </c>
      <c r="H7" s="4" t="s">
        <v>42</v>
      </c>
      <c r="I7" s="4" t="s">
        <v>42</v>
      </c>
      <c r="J7" s="4" t="s">
        <v>2</v>
      </c>
      <c r="K7" s="4"/>
    </row>
    <row r="8" spans="1:11" x14ac:dyDescent="0.25">
      <c r="A8" s="4" t="s">
        <v>2</v>
      </c>
      <c r="B8" s="4" t="s">
        <v>2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41</v>
      </c>
      <c r="H8" s="4" t="s">
        <v>42</v>
      </c>
      <c r="I8" s="4" t="s">
        <v>42</v>
      </c>
      <c r="J8" s="4" t="s">
        <v>2</v>
      </c>
      <c r="K8" s="4"/>
    </row>
    <row r="9" spans="1:11" x14ac:dyDescent="0.25">
      <c r="A9" s="4" t="s">
        <v>2</v>
      </c>
      <c r="B9" s="4" t="s">
        <v>2</v>
      </c>
      <c r="C9" s="4" t="s">
        <v>2</v>
      </c>
      <c r="D9" s="4" t="s">
        <v>2</v>
      </c>
      <c r="E9" s="4" t="s">
        <v>2</v>
      </c>
      <c r="F9" s="4" t="s">
        <v>2</v>
      </c>
      <c r="G9" s="4" t="s">
        <v>41</v>
      </c>
      <c r="H9" s="4" t="s">
        <v>42</v>
      </c>
      <c r="I9" s="4" t="s">
        <v>42</v>
      </c>
      <c r="J9" s="4" t="s">
        <v>2</v>
      </c>
      <c r="K9" s="4"/>
    </row>
    <row r="10" spans="1:11" x14ac:dyDescent="0.25">
      <c r="A10" s="4" t="s">
        <v>2</v>
      </c>
      <c r="B10" s="4" t="s">
        <v>2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41</v>
      </c>
      <c r="H10" s="4" t="s">
        <v>42</v>
      </c>
      <c r="I10" s="4" t="s">
        <v>42</v>
      </c>
      <c r="J10" s="4" t="s">
        <v>2</v>
      </c>
      <c r="K10" s="4"/>
    </row>
    <row r="11" spans="1:11" x14ac:dyDescent="0.25">
      <c r="A11" s="4" t="s">
        <v>2</v>
      </c>
      <c r="B11" s="4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4" t="s">
        <v>41</v>
      </c>
      <c r="H11" s="4" t="s">
        <v>42</v>
      </c>
      <c r="I11" s="4" t="s">
        <v>42</v>
      </c>
      <c r="J11" s="4" t="s">
        <v>2</v>
      </c>
      <c r="K11" s="4"/>
    </row>
    <row r="12" spans="1:11" x14ac:dyDescent="0.25">
      <c r="A12" s="4" t="s">
        <v>2</v>
      </c>
      <c r="B12" s="4" t="s">
        <v>2</v>
      </c>
      <c r="C12" s="4" t="s">
        <v>2</v>
      </c>
      <c r="D12" s="4" t="s">
        <v>2</v>
      </c>
      <c r="E12" s="4" t="s">
        <v>2</v>
      </c>
      <c r="F12" s="4" t="s">
        <v>2</v>
      </c>
      <c r="G12" s="4" t="s">
        <v>41</v>
      </c>
      <c r="H12" s="4" t="s">
        <v>42</v>
      </c>
      <c r="I12" s="4" t="s">
        <v>42</v>
      </c>
      <c r="J12" s="4" t="s">
        <v>2</v>
      </c>
      <c r="K12" s="4"/>
    </row>
    <row r="13" spans="1:11" x14ac:dyDescent="0.25">
      <c r="A13" s="4" t="s">
        <v>2</v>
      </c>
      <c r="B13" s="4" t="s">
        <v>2</v>
      </c>
      <c r="C13" s="4" t="s">
        <v>2</v>
      </c>
      <c r="D13" s="4" t="s">
        <v>2</v>
      </c>
      <c r="E13" s="4" t="s">
        <v>2</v>
      </c>
      <c r="F13" s="4" t="s">
        <v>2</v>
      </c>
      <c r="G13" s="4" t="s">
        <v>41</v>
      </c>
      <c r="H13" s="4" t="s">
        <v>42</v>
      </c>
      <c r="I13" s="4" t="s">
        <v>42</v>
      </c>
      <c r="J13" s="4" t="s">
        <v>2</v>
      </c>
      <c r="K13" s="4"/>
    </row>
    <row r="14" spans="1:11" x14ac:dyDescent="0.25">
      <c r="A14" s="4" t="s">
        <v>2</v>
      </c>
      <c r="B14" s="4" t="s">
        <v>2</v>
      </c>
      <c r="C14" s="4" t="s">
        <v>2</v>
      </c>
      <c r="D14" s="4" t="s">
        <v>2</v>
      </c>
      <c r="E14" s="4" t="s">
        <v>2</v>
      </c>
      <c r="F14" s="4" t="s">
        <v>2</v>
      </c>
      <c r="G14" s="4" t="s">
        <v>41</v>
      </c>
      <c r="H14" s="4" t="s">
        <v>42</v>
      </c>
      <c r="I14" s="4" t="s">
        <v>42</v>
      </c>
      <c r="J14" s="4" t="s">
        <v>2</v>
      </c>
      <c r="K14" s="4"/>
    </row>
    <row r="15" spans="1:11" x14ac:dyDescent="0.25">
      <c r="A15" s="4" t="s">
        <v>2</v>
      </c>
      <c r="B15" s="4" t="s">
        <v>2</v>
      </c>
      <c r="C15" s="4" t="s">
        <v>2</v>
      </c>
      <c r="D15" s="4" t="s">
        <v>2</v>
      </c>
      <c r="E15" s="4" t="s">
        <v>2</v>
      </c>
      <c r="F15" s="4" t="s">
        <v>2</v>
      </c>
      <c r="G15" s="4" t="s">
        <v>41</v>
      </c>
      <c r="H15" s="4" t="s">
        <v>42</v>
      </c>
      <c r="I15" s="4" t="s">
        <v>42</v>
      </c>
      <c r="J15" s="4" t="s">
        <v>2</v>
      </c>
      <c r="K15" s="4"/>
    </row>
    <row r="16" spans="1:11" x14ac:dyDescent="0.25">
      <c r="A16" s="4" t="s">
        <v>2</v>
      </c>
      <c r="B16" s="4" t="s">
        <v>2</v>
      </c>
      <c r="C16" s="4" t="s">
        <v>2</v>
      </c>
      <c r="D16" s="4" t="s">
        <v>2</v>
      </c>
      <c r="E16" s="4" t="s">
        <v>2</v>
      </c>
      <c r="F16" s="4" t="s">
        <v>2</v>
      </c>
      <c r="G16" s="4" t="s">
        <v>41</v>
      </c>
      <c r="H16" s="4" t="s">
        <v>42</v>
      </c>
      <c r="I16" s="4" t="s">
        <v>42</v>
      </c>
      <c r="J16" s="4" t="s">
        <v>2</v>
      </c>
      <c r="K16" s="4"/>
    </row>
    <row r="17" spans="1:11" x14ac:dyDescent="0.25">
      <c r="A17" s="4" t="s">
        <v>2</v>
      </c>
      <c r="B17" s="4" t="s">
        <v>2</v>
      </c>
      <c r="C17" s="4" t="s">
        <v>2</v>
      </c>
      <c r="D17" s="4" t="s">
        <v>2</v>
      </c>
      <c r="E17" s="4" t="s">
        <v>2</v>
      </c>
      <c r="F17" s="4" t="s">
        <v>2</v>
      </c>
      <c r="G17" s="4" t="s">
        <v>41</v>
      </c>
      <c r="H17" s="4" t="s">
        <v>42</v>
      </c>
      <c r="I17" s="4" t="s">
        <v>42</v>
      </c>
      <c r="J17" s="4" t="s">
        <v>2</v>
      </c>
      <c r="K17" s="4"/>
    </row>
    <row r="18" spans="1:11" x14ac:dyDescent="0.25">
      <c r="A18" s="4" t="s">
        <v>2</v>
      </c>
      <c r="B18" s="4" t="s">
        <v>2</v>
      </c>
      <c r="C18" s="4" t="s">
        <v>2</v>
      </c>
      <c r="D18" s="4" t="s">
        <v>2</v>
      </c>
      <c r="E18" s="4" t="s">
        <v>2</v>
      </c>
      <c r="F18" s="4" t="s">
        <v>2</v>
      </c>
      <c r="G18" s="4" t="s">
        <v>41</v>
      </c>
      <c r="H18" s="4" t="s">
        <v>42</v>
      </c>
      <c r="I18" s="4" t="s">
        <v>42</v>
      </c>
      <c r="J18" s="4" t="s">
        <v>2</v>
      </c>
      <c r="K18" s="4"/>
    </row>
    <row r="19" spans="1:11" x14ac:dyDescent="0.25">
      <c r="A19" s="4" t="s">
        <v>2</v>
      </c>
      <c r="B19" s="4" t="s">
        <v>2</v>
      </c>
      <c r="C19" s="4" t="s">
        <v>2</v>
      </c>
      <c r="D19" s="4" t="s">
        <v>2</v>
      </c>
      <c r="E19" s="4" t="s">
        <v>2</v>
      </c>
      <c r="F19" s="4" t="s">
        <v>2</v>
      </c>
      <c r="G19" s="4" t="s">
        <v>41</v>
      </c>
      <c r="H19" s="4" t="s">
        <v>42</v>
      </c>
      <c r="I19" s="4" t="s">
        <v>42</v>
      </c>
      <c r="J19" s="4" t="s">
        <v>2</v>
      </c>
      <c r="K19" s="4"/>
    </row>
    <row r="20" spans="1:11" x14ac:dyDescent="0.25">
      <c r="A20" s="4" t="s">
        <v>2</v>
      </c>
      <c r="B20" s="4" t="s">
        <v>2</v>
      </c>
      <c r="C20" s="4" t="s">
        <v>2</v>
      </c>
      <c r="D20" s="4" t="s">
        <v>2</v>
      </c>
      <c r="E20" s="4" t="s">
        <v>2</v>
      </c>
      <c r="F20" s="4" t="s">
        <v>2</v>
      </c>
      <c r="G20" s="4" t="s">
        <v>41</v>
      </c>
      <c r="H20" s="4" t="s">
        <v>42</v>
      </c>
      <c r="I20" s="4" t="s">
        <v>42</v>
      </c>
      <c r="J20" s="4" t="s">
        <v>2</v>
      </c>
      <c r="K20" s="4"/>
    </row>
    <row r="21" spans="1:11" x14ac:dyDescent="0.25">
      <c r="A21" s="4" t="s">
        <v>2</v>
      </c>
      <c r="B21" s="4" t="s">
        <v>2</v>
      </c>
      <c r="C21" s="4" t="s">
        <v>2</v>
      </c>
      <c r="D21" s="4" t="s">
        <v>2</v>
      </c>
      <c r="E21" s="4" t="s">
        <v>2</v>
      </c>
      <c r="F21" s="4" t="s">
        <v>2</v>
      </c>
      <c r="G21" s="4" t="s">
        <v>41</v>
      </c>
      <c r="H21" s="4" t="s">
        <v>42</v>
      </c>
      <c r="I21" s="4" t="s">
        <v>42</v>
      </c>
      <c r="J21" s="4" t="s">
        <v>2</v>
      </c>
      <c r="K21" s="4"/>
    </row>
    <row r="22" spans="1:11" x14ac:dyDescent="0.25">
      <c r="A22" s="4" t="s">
        <v>2</v>
      </c>
      <c r="B22" s="4" t="s">
        <v>2</v>
      </c>
      <c r="C22" s="4" t="s">
        <v>2</v>
      </c>
      <c r="D22" s="4" t="s">
        <v>2</v>
      </c>
      <c r="E22" s="4" t="s">
        <v>2</v>
      </c>
      <c r="F22" s="4" t="s">
        <v>2</v>
      </c>
      <c r="G22" s="4" t="s">
        <v>41</v>
      </c>
      <c r="H22" s="4" t="s">
        <v>42</v>
      </c>
      <c r="I22" s="4" t="s">
        <v>42</v>
      </c>
      <c r="J22" s="4" t="s">
        <v>2</v>
      </c>
      <c r="K22" s="4"/>
    </row>
    <row r="23" spans="1:11" x14ac:dyDescent="0.25">
      <c r="A23" s="4" t="s">
        <v>2</v>
      </c>
      <c r="B23" s="4" t="s">
        <v>2</v>
      </c>
      <c r="C23" s="4" t="s">
        <v>2</v>
      </c>
      <c r="D23" s="4" t="s">
        <v>2</v>
      </c>
      <c r="E23" s="4" t="s">
        <v>2</v>
      </c>
      <c r="F23" s="4" t="s">
        <v>2</v>
      </c>
      <c r="G23" s="4" t="s">
        <v>41</v>
      </c>
      <c r="H23" s="4" t="s">
        <v>42</v>
      </c>
      <c r="I23" s="4" t="s">
        <v>42</v>
      </c>
      <c r="J23" s="4" t="s">
        <v>2</v>
      </c>
      <c r="K23" s="4"/>
    </row>
  </sheetData>
  <mergeCells count="1">
    <mergeCell ref="A1:K1"/>
  </mergeCells>
  <dataValidations count="2">
    <dataValidation type="list" sqref="G4:G23" xr:uid="{00000000-0002-0000-0200-000000000000}">
      <formula1>"PRESENTADO Y PAGADO,PRESENTADO PENDIENTE DE PAGO,PENDIENTE,NO APLICA,EN REVISIÓN"</formula1>
    </dataValidation>
    <dataValidation type="list" sqref="H4:I23" xr:uid="{00000000-0002-0000-0200-000001000000}">
      <formula1>"SI,NO"</formula1>
    </dataValidation>
  </dataValidations>
  <pageMargins left="0.3" right="0.3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3"/>
  <sheetViews>
    <sheetView showGridLines="0" topLeftCell="A17" workbookViewId="0">
      <selection sqref="A1:J1"/>
    </sheetView>
  </sheetViews>
  <sheetFormatPr baseColWidth="10" defaultColWidth="9.140625" defaultRowHeight="15" x14ac:dyDescent="0.25"/>
  <cols>
    <col min="1" max="1" width="12" customWidth="1"/>
    <col min="2" max="2" width="24" customWidth="1"/>
    <col min="3" max="3" width="32" customWidth="1"/>
    <col min="4" max="4" width="20" customWidth="1"/>
    <col min="5" max="5" width="22" customWidth="1"/>
    <col min="6" max="7" width="18" customWidth="1"/>
    <col min="8" max="8" width="24" customWidth="1"/>
    <col min="9" max="9" width="20" customWidth="1"/>
    <col min="10" max="10" width="40" customWidth="1"/>
  </cols>
  <sheetData>
    <row r="1" spans="1:10" ht="30" customHeight="1" x14ac:dyDescent="0.25">
      <c r="A1" s="8" t="s">
        <v>300</v>
      </c>
      <c r="B1" s="9"/>
      <c r="C1" s="9"/>
      <c r="D1" s="9"/>
      <c r="E1" s="9"/>
      <c r="F1" s="9"/>
      <c r="G1" s="9"/>
      <c r="H1" s="9"/>
      <c r="I1" s="9"/>
      <c r="J1" s="9"/>
    </row>
    <row r="3" spans="1:10" ht="30" customHeight="1" x14ac:dyDescent="0.25">
      <c r="A3" s="3" t="s">
        <v>30</v>
      </c>
      <c r="B3" s="3" t="s">
        <v>8</v>
      </c>
      <c r="C3" s="3" t="s">
        <v>301</v>
      </c>
      <c r="D3" s="3" t="s">
        <v>302</v>
      </c>
      <c r="E3" s="3" t="s">
        <v>303</v>
      </c>
      <c r="F3" s="3" t="s">
        <v>304</v>
      </c>
      <c r="G3" s="3" t="s">
        <v>6</v>
      </c>
      <c r="H3" s="3" t="s">
        <v>34</v>
      </c>
      <c r="I3" s="3" t="s">
        <v>36</v>
      </c>
      <c r="J3" s="3" t="s">
        <v>16</v>
      </c>
    </row>
    <row r="4" spans="1:10" x14ac:dyDescent="0.25">
      <c r="A4" s="4" t="s">
        <v>305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41</v>
      </c>
      <c r="I4" s="4" t="s">
        <v>2</v>
      </c>
      <c r="J4" s="4"/>
    </row>
    <row r="5" spans="1:10" x14ac:dyDescent="0.25">
      <c r="A5" s="4" t="s">
        <v>306</v>
      </c>
      <c r="B5" s="4" t="s">
        <v>2</v>
      </c>
      <c r="C5" s="4" t="s">
        <v>2</v>
      </c>
      <c r="D5" s="4" t="s">
        <v>2</v>
      </c>
      <c r="E5" s="4" t="s">
        <v>2</v>
      </c>
      <c r="F5" s="4" t="s">
        <v>2</v>
      </c>
      <c r="G5" s="4" t="s">
        <v>2</v>
      </c>
      <c r="H5" s="4" t="s">
        <v>41</v>
      </c>
      <c r="I5" s="4" t="s">
        <v>2</v>
      </c>
      <c r="J5" s="4"/>
    </row>
    <row r="6" spans="1:10" x14ac:dyDescent="0.25">
      <c r="A6" s="4" t="s">
        <v>307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41</v>
      </c>
      <c r="I6" s="4" t="s">
        <v>2</v>
      </c>
      <c r="J6" s="4"/>
    </row>
    <row r="7" spans="1:10" x14ac:dyDescent="0.25">
      <c r="A7" s="4" t="s">
        <v>308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41</v>
      </c>
      <c r="I7" s="4" t="s">
        <v>2</v>
      </c>
      <c r="J7" s="4"/>
    </row>
    <row r="8" spans="1:10" x14ac:dyDescent="0.25">
      <c r="A8" s="4" t="s">
        <v>309</v>
      </c>
      <c r="B8" s="4" t="s">
        <v>2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4" t="s">
        <v>41</v>
      </c>
      <c r="I8" s="4" t="s">
        <v>2</v>
      </c>
      <c r="J8" s="4"/>
    </row>
    <row r="9" spans="1:10" x14ac:dyDescent="0.25">
      <c r="A9" s="4" t="s">
        <v>310</v>
      </c>
      <c r="B9" s="4" t="s">
        <v>2</v>
      </c>
      <c r="C9" s="4" t="s">
        <v>2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41</v>
      </c>
      <c r="I9" s="4" t="s">
        <v>2</v>
      </c>
      <c r="J9" s="4"/>
    </row>
    <row r="10" spans="1:10" x14ac:dyDescent="0.25">
      <c r="A10" s="4" t="s">
        <v>311</v>
      </c>
      <c r="B10" s="4" t="s">
        <v>2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  <c r="H10" s="4" t="s">
        <v>41</v>
      </c>
      <c r="I10" s="4" t="s">
        <v>2</v>
      </c>
      <c r="J10" s="4"/>
    </row>
    <row r="11" spans="1:10" x14ac:dyDescent="0.25">
      <c r="A11" s="4" t="s">
        <v>312</v>
      </c>
      <c r="B11" s="4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4" t="s">
        <v>2</v>
      </c>
      <c r="H11" s="4" t="s">
        <v>41</v>
      </c>
      <c r="I11" s="4" t="s">
        <v>2</v>
      </c>
      <c r="J11" s="4"/>
    </row>
    <row r="12" spans="1:10" x14ac:dyDescent="0.25">
      <c r="A12" s="4" t="s">
        <v>313</v>
      </c>
      <c r="B12" s="4" t="s">
        <v>2</v>
      </c>
      <c r="C12" s="4" t="s">
        <v>2</v>
      </c>
      <c r="D12" s="4" t="s">
        <v>2</v>
      </c>
      <c r="E12" s="4" t="s">
        <v>2</v>
      </c>
      <c r="F12" s="4" t="s">
        <v>2</v>
      </c>
      <c r="G12" s="4" t="s">
        <v>2</v>
      </c>
      <c r="H12" s="4" t="s">
        <v>41</v>
      </c>
      <c r="I12" s="4" t="s">
        <v>2</v>
      </c>
      <c r="J12" s="4"/>
    </row>
    <row r="13" spans="1:10" x14ac:dyDescent="0.25">
      <c r="A13" s="4" t="s">
        <v>314</v>
      </c>
      <c r="B13" s="4" t="s">
        <v>2</v>
      </c>
      <c r="C13" s="4" t="s">
        <v>2</v>
      </c>
      <c r="D13" s="4" t="s">
        <v>2</v>
      </c>
      <c r="E13" s="4" t="s">
        <v>2</v>
      </c>
      <c r="F13" s="4" t="s">
        <v>2</v>
      </c>
      <c r="G13" s="4" t="s">
        <v>2</v>
      </c>
      <c r="H13" s="4" t="s">
        <v>41</v>
      </c>
      <c r="I13" s="4" t="s">
        <v>2</v>
      </c>
      <c r="J13" s="4"/>
    </row>
    <row r="14" spans="1:10" x14ac:dyDescent="0.25">
      <c r="A14" s="4" t="s">
        <v>315</v>
      </c>
      <c r="B14" s="4" t="s">
        <v>2</v>
      </c>
      <c r="C14" s="4" t="s">
        <v>2</v>
      </c>
      <c r="D14" s="4" t="s">
        <v>2</v>
      </c>
      <c r="E14" s="4" t="s">
        <v>2</v>
      </c>
      <c r="F14" s="4" t="s">
        <v>2</v>
      </c>
      <c r="G14" s="4" t="s">
        <v>2</v>
      </c>
      <c r="H14" s="4" t="s">
        <v>41</v>
      </c>
      <c r="I14" s="4" t="s">
        <v>2</v>
      </c>
      <c r="J14" s="4"/>
    </row>
    <row r="15" spans="1:10" x14ac:dyDescent="0.25">
      <c r="A15" s="4" t="s">
        <v>316</v>
      </c>
      <c r="B15" s="4" t="s">
        <v>2</v>
      </c>
      <c r="C15" s="4" t="s">
        <v>2</v>
      </c>
      <c r="D15" s="4" t="s">
        <v>2</v>
      </c>
      <c r="E15" s="4" t="s">
        <v>2</v>
      </c>
      <c r="F15" s="4" t="s">
        <v>2</v>
      </c>
      <c r="G15" s="4" t="s">
        <v>2</v>
      </c>
      <c r="H15" s="4" t="s">
        <v>41</v>
      </c>
      <c r="I15" s="4" t="s">
        <v>2</v>
      </c>
      <c r="J15" s="4"/>
    </row>
    <row r="16" spans="1:10" x14ac:dyDescent="0.25">
      <c r="A16" s="4" t="s">
        <v>317</v>
      </c>
      <c r="B16" s="4" t="s">
        <v>2</v>
      </c>
      <c r="C16" s="4" t="s">
        <v>2</v>
      </c>
      <c r="D16" s="4" t="s">
        <v>2</v>
      </c>
      <c r="E16" s="4" t="s">
        <v>2</v>
      </c>
      <c r="F16" s="4" t="s">
        <v>2</v>
      </c>
      <c r="G16" s="4" t="s">
        <v>2</v>
      </c>
      <c r="H16" s="4" t="s">
        <v>41</v>
      </c>
      <c r="I16" s="4" t="s">
        <v>2</v>
      </c>
      <c r="J16" s="4"/>
    </row>
    <row r="17" spans="1:10" x14ac:dyDescent="0.25">
      <c r="A17" s="4" t="s">
        <v>318</v>
      </c>
      <c r="B17" s="4" t="s">
        <v>2</v>
      </c>
      <c r="C17" s="4" t="s">
        <v>2</v>
      </c>
      <c r="D17" s="4" t="s">
        <v>2</v>
      </c>
      <c r="E17" s="4" t="s">
        <v>2</v>
      </c>
      <c r="F17" s="4" t="s">
        <v>2</v>
      </c>
      <c r="G17" s="4" t="s">
        <v>2</v>
      </c>
      <c r="H17" s="4" t="s">
        <v>41</v>
      </c>
      <c r="I17" s="4" t="s">
        <v>2</v>
      </c>
      <c r="J17" s="4"/>
    </row>
    <row r="18" spans="1:10" x14ac:dyDescent="0.25">
      <c r="A18" s="4" t="s">
        <v>319</v>
      </c>
      <c r="B18" s="4" t="s">
        <v>2</v>
      </c>
      <c r="C18" s="4" t="s">
        <v>2</v>
      </c>
      <c r="D18" s="4" t="s">
        <v>2</v>
      </c>
      <c r="E18" s="4" t="s">
        <v>2</v>
      </c>
      <c r="F18" s="4" t="s">
        <v>2</v>
      </c>
      <c r="G18" s="4" t="s">
        <v>2</v>
      </c>
      <c r="H18" s="4" t="s">
        <v>41</v>
      </c>
      <c r="I18" s="4" t="s">
        <v>2</v>
      </c>
      <c r="J18" s="4"/>
    </row>
    <row r="19" spans="1:10" x14ac:dyDescent="0.25">
      <c r="A19" s="4" t="s">
        <v>320</v>
      </c>
      <c r="B19" s="4" t="s">
        <v>2</v>
      </c>
      <c r="C19" s="4" t="s">
        <v>2</v>
      </c>
      <c r="D19" s="4" t="s">
        <v>2</v>
      </c>
      <c r="E19" s="4" t="s">
        <v>2</v>
      </c>
      <c r="F19" s="4" t="s">
        <v>2</v>
      </c>
      <c r="G19" s="4" t="s">
        <v>2</v>
      </c>
      <c r="H19" s="4" t="s">
        <v>41</v>
      </c>
      <c r="I19" s="4" t="s">
        <v>2</v>
      </c>
      <c r="J19" s="4"/>
    </row>
    <row r="20" spans="1:10" x14ac:dyDescent="0.25">
      <c r="A20" s="4" t="s">
        <v>321</v>
      </c>
      <c r="B20" s="4" t="s">
        <v>2</v>
      </c>
      <c r="C20" s="4" t="s">
        <v>2</v>
      </c>
      <c r="D20" s="4" t="s">
        <v>2</v>
      </c>
      <c r="E20" s="4" t="s">
        <v>2</v>
      </c>
      <c r="F20" s="4" t="s">
        <v>2</v>
      </c>
      <c r="G20" s="4" t="s">
        <v>2</v>
      </c>
      <c r="H20" s="4" t="s">
        <v>41</v>
      </c>
      <c r="I20" s="4" t="s">
        <v>2</v>
      </c>
      <c r="J20" s="4"/>
    </row>
    <row r="21" spans="1:10" x14ac:dyDescent="0.25">
      <c r="A21" s="4" t="s">
        <v>322</v>
      </c>
      <c r="B21" s="4" t="s">
        <v>2</v>
      </c>
      <c r="C21" s="4" t="s">
        <v>2</v>
      </c>
      <c r="D21" s="4" t="s">
        <v>2</v>
      </c>
      <c r="E21" s="4" t="s">
        <v>2</v>
      </c>
      <c r="F21" s="4" t="s">
        <v>2</v>
      </c>
      <c r="G21" s="4" t="s">
        <v>2</v>
      </c>
      <c r="H21" s="4" t="s">
        <v>41</v>
      </c>
      <c r="I21" s="4" t="s">
        <v>2</v>
      </c>
      <c r="J21" s="4"/>
    </row>
    <row r="22" spans="1:10" x14ac:dyDescent="0.25">
      <c r="A22" s="4" t="s">
        <v>323</v>
      </c>
      <c r="B22" s="4" t="s">
        <v>2</v>
      </c>
      <c r="C22" s="4" t="s">
        <v>2</v>
      </c>
      <c r="D22" s="4" t="s">
        <v>2</v>
      </c>
      <c r="E22" s="4" t="s">
        <v>2</v>
      </c>
      <c r="F22" s="4" t="s">
        <v>2</v>
      </c>
      <c r="G22" s="4" t="s">
        <v>2</v>
      </c>
      <c r="H22" s="4" t="s">
        <v>41</v>
      </c>
      <c r="I22" s="4" t="s">
        <v>2</v>
      </c>
      <c r="J22" s="4"/>
    </row>
    <row r="23" spans="1:10" x14ac:dyDescent="0.25">
      <c r="A23" s="4" t="s">
        <v>324</v>
      </c>
      <c r="B23" s="4" t="s">
        <v>2</v>
      </c>
      <c r="C23" s="4" t="s">
        <v>2</v>
      </c>
      <c r="D23" s="4" t="s">
        <v>2</v>
      </c>
      <c r="E23" s="4" t="s">
        <v>2</v>
      </c>
      <c r="F23" s="4" t="s">
        <v>2</v>
      </c>
      <c r="G23" s="4" t="s">
        <v>2</v>
      </c>
      <c r="H23" s="4" t="s">
        <v>41</v>
      </c>
      <c r="I23" s="4" t="s">
        <v>2</v>
      </c>
      <c r="J23" s="4"/>
    </row>
  </sheetData>
  <mergeCells count="1">
    <mergeCell ref="A1:J1"/>
  </mergeCells>
  <dataValidations count="1">
    <dataValidation type="list" sqref="H4:H23" xr:uid="{00000000-0002-0000-0300-000000000000}">
      <formula1>"CONCILIADO,CONCILIADO CON PARTIDAS,EN REVISIÓN,PENDIENTE,NO APLICA"</formula1>
    </dataValidation>
  </dataValidations>
  <pageMargins left="0.3" right="0.3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3"/>
  <sheetViews>
    <sheetView showGridLines="0" tabSelected="1" workbookViewId="0">
      <selection sqref="A1:K1"/>
    </sheetView>
  </sheetViews>
  <sheetFormatPr baseColWidth="10" defaultColWidth="9.140625" defaultRowHeight="15" x14ac:dyDescent="0.25"/>
  <cols>
    <col min="1" max="1" width="12" customWidth="1"/>
    <col min="2" max="2" width="24" customWidth="1"/>
    <col min="3" max="3" width="42" customWidth="1"/>
    <col min="4" max="4" width="40" customWidth="1"/>
    <col min="5" max="5" width="14" customWidth="1"/>
    <col min="6" max="6" width="42" customWidth="1"/>
    <col min="7" max="8" width="20" customWidth="1"/>
    <col min="9" max="9" width="18" customWidth="1"/>
    <col min="10" max="10" width="30" customWidth="1"/>
    <col min="11" max="11" width="40" customWidth="1"/>
  </cols>
  <sheetData>
    <row r="1" spans="1:11" ht="30" customHeight="1" x14ac:dyDescent="0.25">
      <c r="A1" s="8" t="s">
        <v>325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30" customHeight="1" x14ac:dyDescent="0.25">
      <c r="A3" s="3" t="s">
        <v>30</v>
      </c>
      <c r="B3" s="3" t="s">
        <v>8</v>
      </c>
      <c r="C3" s="3" t="s">
        <v>326</v>
      </c>
      <c r="D3" s="3" t="s">
        <v>327</v>
      </c>
      <c r="E3" s="3" t="s">
        <v>328</v>
      </c>
      <c r="F3" s="3" t="s">
        <v>329</v>
      </c>
      <c r="G3" s="3" t="s">
        <v>36</v>
      </c>
      <c r="H3" s="3" t="s">
        <v>37</v>
      </c>
      <c r="I3" s="3" t="s">
        <v>34</v>
      </c>
      <c r="J3" s="3" t="s">
        <v>330</v>
      </c>
      <c r="K3" s="3" t="s">
        <v>16</v>
      </c>
    </row>
    <row r="4" spans="1:11" x14ac:dyDescent="0.25">
      <c r="A4" s="4" t="s">
        <v>331</v>
      </c>
      <c r="B4" s="4" t="s">
        <v>2</v>
      </c>
      <c r="C4" s="4"/>
      <c r="D4" s="4"/>
      <c r="E4" s="4" t="s">
        <v>332</v>
      </c>
      <c r="F4" s="4"/>
      <c r="G4" s="4" t="s">
        <v>2</v>
      </c>
      <c r="H4" s="4" t="s">
        <v>2</v>
      </c>
      <c r="I4" s="4" t="s">
        <v>333</v>
      </c>
      <c r="J4" s="4"/>
      <c r="K4" s="4"/>
    </row>
    <row r="5" spans="1:11" x14ac:dyDescent="0.25">
      <c r="A5" s="4" t="s">
        <v>334</v>
      </c>
      <c r="B5" s="4" t="s">
        <v>2</v>
      </c>
      <c r="C5" s="4"/>
      <c r="D5" s="4"/>
      <c r="E5" s="4" t="s">
        <v>332</v>
      </c>
      <c r="F5" s="4"/>
      <c r="G5" s="4" t="s">
        <v>2</v>
      </c>
      <c r="H5" s="4" t="s">
        <v>2</v>
      </c>
      <c r="I5" s="4" t="s">
        <v>333</v>
      </c>
      <c r="J5" s="4"/>
      <c r="K5" s="4"/>
    </row>
    <row r="6" spans="1:11" x14ac:dyDescent="0.25">
      <c r="A6" s="4" t="s">
        <v>335</v>
      </c>
      <c r="B6" s="4" t="s">
        <v>2</v>
      </c>
      <c r="C6" s="4"/>
      <c r="D6" s="4"/>
      <c r="E6" s="4" t="s">
        <v>332</v>
      </c>
      <c r="F6" s="4"/>
      <c r="G6" s="4" t="s">
        <v>2</v>
      </c>
      <c r="H6" s="4" t="s">
        <v>2</v>
      </c>
      <c r="I6" s="4" t="s">
        <v>333</v>
      </c>
      <c r="J6" s="4"/>
      <c r="K6" s="4"/>
    </row>
    <row r="7" spans="1:11" x14ac:dyDescent="0.25">
      <c r="A7" s="4" t="s">
        <v>336</v>
      </c>
      <c r="B7" s="4" t="s">
        <v>2</v>
      </c>
      <c r="C7" s="4"/>
      <c r="D7" s="4"/>
      <c r="E7" s="4" t="s">
        <v>332</v>
      </c>
      <c r="F7" s="4"/>
      <c r="G7" s="4" t="s">
        <v>2</v>
      </c>
      <c r="H7" s="4" t="s">
        <v>2</v>
      </c>
      <c r="I7" s="4" t="s">
        <v>333</v>
      </c>
      <c r="J7" s="4"/>
      <c r="K7" s="4"/>
    </row>
    <row r="8" spans="1:11" x14ac:dyDescent="0.25">
      <c r="A8" s="4" t="s">
        <v>337</v>
      </c>
      <c r="B8" s="4" t="s">
        <v>2</v>
      </c>
      <c r="C8" s="4"/>
      <c r="D8" s="4"/>
      <c r="E8" s="4" t="s">
        <v>332</v>
      </c>
      <c r="F8" s="4"/>
      <c r="G8" s="4" t="s">
        <v>2</v>
      </c>
      <c r="H8" s="4" t="s">
        <v>2</v>
      </c>
      <c r="I8" s="4" t="s">
        <v>333</v>
      </c>
      <c r="J8" s="4"/>
      <c r="K8" s="4"/>
    </row>
    <row r="9" spans="1:11" x14ac:dyDescent="0.25">
      <c r="A9" s="4" t="s">
        <v>338</v>
      </c>
      <c r="B9" s="4" t="s">
        <v>2</v>
      </c>
      <c r="C9" s="4"/>
      <c r="D9" s="4"/>
      <c r="E9" s="4" t="s">
        <v>332</v>
      </c>
      <c r="F9" s="4"/>
      <c r="G9" s="4" t="s">
        <v>2</v>
      </c>
      <c r="H9" s="4" t="s">
        <v>2</v>
      </c>
      <c r="I9" s="4" t="s">
        <v>333</v>
      </c>
      <c r="J9" s="4"/>
      <c r="K9" s="4"/>
    </row>
    <row r="10" spans="1:11" x14ac:dyDescent="0.25">
      <c r="A10" s="4" t="s">
        <v>339</v>
      </c>
      <c r="B10" s="4" t="s">
        <v>2</v>
      </c>
      <c r="C10" s="4"/>
      <c r="D10" s="4"/>
      <c r="E10" s="4" t="s">
        <v>332</v>
      </c>
      <c r="F10" s="4"/>
      <c r="G10" s="4" t="s">
        <v>2</v>
      </c>
      <c r="H10" s="4" t="s">
        <v>2</v>
      </c>
      <c r="I10" s="4" t="s">
        <v>333</v>
      </c>
      <c r="J10" s="4"/>
      <c r="K10" s="4"/>
    </row>
    <row r="11" spans="1:11" x14ac:dyDescent="0.25">
      <c r="A11" s="4" t="s">
        <v>340</v>
      </c>
      <c r="B11" s="4" t="s">
        <v>2</v>
      </c>
      <c r="C11" s="4"/>
      <c r="D11" s="4"/>
      <c r="E11" s="4" t="s">
        <v>332</v>
      </c>
      <c r="F11" s="4"/>
      <c r="G11" s="4" t="s">
        <v>2</v>
      </c>
      <c r="H11" s="4" t="s">
        <v>2</v>
      </c>
      <c r="I11" s="4" t="s">
        <v>333</v>
      </c>
      <c r="J11" s="4"/>
      <c r="K11" s="4"/>
    </row>
    <row r="12" spans="1:11" x14ac:dyDescent="0.25">
      <c r="A12" s="4" t="s">
        <v>341</v>
      </c>
      <c r="B12" s="4" t="s">
        <v>2</v>
      </c>
      <c r="C12" s="4"/>
      <c r="D12" s="4"/>
      <c r="E12" s="4" t="s">
        <v>332</v>
      </c>
      <c r="F12" s="4"/>
      <c r="G12" s="4" t="s">
        <v>2</v>
      </c>
      <c r="H12" s="4" t="s">
        <v>2</v>
      </c>
      <c r="I12" s="4" t="s">
        <v>333</v>
      </c>
      <c r="J12" s="4"/>
      <c r="K12" s="4"/>
    </row>
    <row r="13" spans="1:11" x14ac:dyDescent="0.25">
      <c r="A13" s="4" t="s">
        <v>342</v>
      </c>
      <c r="B13" s="4" t="s">
        <v>2</v>
      </c>
      <c r="C13" s="4"/>
      <c r="D13" s="4"/>
      <c r="E13" s="4" t="s">
        <v>332</v>
      </c>
      <c r="F13" s="4"/>
      <c r="G13" s="4" t="s">
        <v>2</v>
      </c>
      <c r="H13" s="4" t="s">
        <v>2</v>
      </c>
      <c r="I13" s="4" t="s">
        <v>333</v>
      </c>
      <c r="J13" s="4"/>
      <c r="K13" s="4"/>
    </row>
    <row r="14" spans="1:11" x14ac:dyDescent="0.25">
      <c r="A14" s="4" t="s">
        <v>343</v>
      </c>
      <c r="B14" s="4" t="s">
        <v>2</v>
      </c>
      <c r="C14" s="4"/>
      <c r="D14" s="4"/>
      <c r="E14" s="4" t="s">
        <v>332</v>
      </c>
      <c r="F14" s="4"/>
      <c r="G14" s="4" t="s">
        <v>2</v>
      </c>
      <c r="H14" s="4" t="s">
        <v>2</v>
      </c>
      <c r="I14" s="4" t="s">
        <v>333</v>
      </c>
      <c r="J14" s="4"/>
      <c r="K14" s="4"/>
    </row>
    <row r="15" spans="1:11" x14ac:dyDescent="0.25">
      <c r="A15" s="4" t="s">
        <v>344</v>
      </c>
      <c r="B15" s="4" t="s">
        <v>2</v>
      </c>
      <c r="C15" s="4"/>
      <c r="D15" s="4"/>
      <c r="E15" s="4" t="s">
        <v>332</v>
      </c>
      <c r="F15" s="4"/>
      <c r="G15" s="4" t="s">
        <v>2</v>
      </c>
      <c r="H15" s="4" t="s">
        <v>2</v>
      </c>
      <c r="I15" s="4" t="s">
        <v>333</v>
      </c>
      <c r="J15" s="4"/>
      <c r="K15" s="4"/>
    </row>
    <row r="16" spans="1:11" x14ac:dyDescent="0.25">
      <c r="A16" s="4" t="s">
        <v>345</v>
      </c>
      <c r="B16" s="4" t="s">
        <v>2</v>
      </c>
      <c r="C16" s="4"/>
      <c r="D16" s="4"/>
      <c r="E16" s="4" t="s">
        <v>332</v>
      </c>
      <c r="F16" s="4"/>
      <c r="G16" s="4" t="s">
        <v>2</v>
      </c>
      <c r="H16" s="4" t="s">
        <v>2</v>
      </c>
      <c r="I16" s="4" t="s">
        <v>333</v>
      </c>
      <c r="J16" s="4"/>
      <c r="K16" s="4"/>
    </row>
    <row r="17" spans="1:11" x14ac:dyDescent="0.25">
      <c r="A17" s="4" t="s">
        <v>346</v>
      </c>
      <c r="B17" s="4" t="s">
        <v>2</v>
      </c>
      <c r="C17" s="4"/>
      <c r="D17" s="4"/>
      <c r="E17" s="4" t="s">
        <v>332</v>
      </c>
      <c r="F17" s="4"/>
      <c r="G17" s="4" t="s">
        <v>2</v>
      </c>
      <c r="H17" s="4" t="s">
        <v>2</v>
      </c>
      <c r="I17" s="4" t="s">
        <v>333</v>
      </c>
      <c r="J17" s="4"/>
      <c r="K17" s="4"/>
    </row>
    <row r="18" spans="1:11" x14ac:dyDescent="0.25">
      <c r="A18" s="4" t="s">
        <v>347</v>
      </c>
      <c r="B18" s="4" t="s">
        <v>2</v>
      </c>
      <c r="C18" s="4"/>
      <c r="D18" s="4"/>
      <c r="E18" s="4" t="s">
        <v>332</v>
      </c>
      <c r="F18" s="4"/>
      <c r="G18" s="4" t="s">
        <v>2</v>
      </c>
      <c r="H18" s="4" t="s">
        <v>2</v>
      </c>
      <c r="I18" s="4" t="s">
        <v>333</v>
      </c>
      <c r="J18" s="4"/>
      <c r="K18" s="4"/>
    </row>
    <row r="19" spans="1:11" x14ac:dyDescent="0.25">
      <c r="A19" s="4" t="s">
        <v>348</v>
      </c>
      <c r="B19" s="4" t="s">
        <v>2</v>
      </c>
      <c r="C19" s="4"/>
      <c r="D19" s="4"/>
      <c r="E19" s="4" t="s">
        <v>332</v>
      </c>
      <c r="F19" s="4"/>
      <c r="G19" s="4" t="s">
        <v>2</v>
      </c>
      <c r="H19" s="4" t="s">
        <v>2</v>
      </c>
      <c r="I19" s="4" t="s">
        <v>333</v>
      </c>
      <c r="J19" s="4"/>
      <c r="K19" s="4"/>
    </row>
    <row r="20" spans="1:11" x14ac:dyDescent="0.25">
      <c r="A20" s="4" t="s">
        <v>349</v>
      </c>
      <c r="B20" s="4" t="s">
        <v>2</v>
      </c>
      <c r="C20" s="4"/>
      <c r="D20" s="4"/>
      <c r="E20" s="4" t="s">
        <v>332</v>
      </c>
      <c r="F20" s="4"/>
      <c r="G20" s="4" t="s">
        <v>2</v>
      </c>
      <c r="H20" s="4" t="s">
        <v>2</v>
      </c>
      <c r="I20" s="4" t="s">
        <v>333</v>
      </c>
      <c r="J20" s="4"/>
      <c r="K20" s="4"/>
    </row>
    <row r="21" spans="1:11" x14ac:dyDescent="0.25">
      <c r="A21" s="4" t="s">
        <v>350</v>
      </c>
      <c r="B21" s="4" t="s">
        <v>2</v>
      </c>
      <c r="C21" s="4"/>
      <c r="D21" s="4"/>
      <c r="E21" s="4" t="s">
        <v>332</v>
      </c>
      <c r="F21" s="4"/>
      <c r="G21" s="4" t="s">
        <v>2</v>
      </c>
      <c r="H21" s="4" t="s">
        <v>2</v>
      </c>
      <c r="I21" s="4" t="s">
        <v>333</v>
      </c>
      <c r="J21" s="4"/>
      <c r="K21" s="4"/>
    </row>
    <row r="22" spans="1:11" x14ac:dyDescent="0.25">
      <c r="A22" s="4" t="s">
        <v>351</v>
      </c>
      <c r="B22" s="4" t="s">
        <v>2</v>
      </c>
      <c r="C22" s="4"/>
      <c r="D22" s="4"/>
      <c r="E22" s="4" t="s">
        <v>332</v>
      </c>
      <c r="F22" s="4"/>
      <c r="G22" s="4" t="s">
        <v>2</v>
      </c>
      <c r="H22" s="4" t="s">
        <v>2</v>
      </c>
      <c r="I22" s="4" t="s">
        <v>333</v>
      </c>
      <c r="J22" s="4"/>
      <c r="K22" s="4"/>
    </row>
    <row r="23" spans="1:11" x14ac:dyDescent="0.25">
      <c r="A23" s="4" t="s">
        <v>352</v>
      </c>
      <c r="B23" s="4" t="s">
        <v>2</v>
      </c>
      <c r="C23" s="4"/>
      <c r="D23" s="4"/>
      <c r="E23" s="4" t="s">
        <v>332</v>
      </c>
      <c r="F23" s="4"/>
      <c r="G23" s="4" t="s">
        <v>2</v>
      </c>
      <c r="H23" s="4" t="s">
        <v>2</v>
      </c>
      <c r="I23" s="4" t="s">
        <v>333</v>
      </c>
      <c r="J23" s="4"/>
      <c r="K23" s="4"/>
    </row>
  </sheetData>
  <mergeCells count="1">
    <mergeCell ref="A1:K1"/>
  </mergeCells>
  <dataValidations count="2">
    <dataValidation type="list" sqref="E4:E23" xr:uid="{00000000-0002-0000-0400-000000000000}">
      <formula1>"ALTA,MEDIA,BAJA"</formula1>
    </dataValidation>
    <dataValidation type="list" sqref="I4:I23" xr:uid="{00000000-0002-0000-0400-000001000000}">
      <formula1>"ABIERTO,EN GESTIÓN,CERRADO,NO APLICA"</formula1>
    </dataValidation>
  </dataValidations>
  <pageMargins left="0.3" right="0.3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8"/>
  <sheetViews>
    <sheetView showGridLines="0" workbookViewId="0">
      <selection sqref="A1:I1"/>
    </sheetView>
  </sheetViews>
  <sheetFormatPr baseColWidth="10" defaultColWidth="9.140625" defaultRowHeight="15" x14ac:dyDescent="0.25"/>
  <cols>
    <col min="1" max="1" width="28" customWidth="1"/>
    <col min="2" max="2" width="32" customWidth="1"/>
    <col min="3" max="3" width="24" customWidth="1"/>
    <col min="4" max="4" width="28" customWidth="1"/>
    <col min="5" max="6" width="16" customWidth="1"/>
    <col min="7" max="7" width="36" customWidth="1"/>
    <col min="8" max="8" width="24" customWidth="1"/>
    <col min="9" max="9" width="40" customWidth="1"/>
  </cols>
  <sheetData>
    <row r="1" spans="1:9" ht="30" customHeight="1" x14ac:dyDescent="0.25">
      <c r="A1" s="8" t="s">
        <v>353</v>
      </c>
      <c r="B1" s="9"/>
      <c r="C1" s="9"/>
      <c r="D1" s="9"/>
      <c r="E1" s="9"/>
      <c r="F1" s="9"/>
      <c r="G1" s="9"/>
      <c r="H1" s="9"/>
      <c r="I1" s="9"/>
    </row>
    <row r="3" spans="1:9" ht="30" customHeight="1" x14ac:dyDescent="0.25">
      <c r="A3" s="3" t="s">
        <v>354</v>
      </c>
      <c r="B3" s="3" t="s">
        <v>355</v>
      </c>
      <c r="C3" s="3" t="s">
        <v>356</v>
      </c>
      <c r="D3" s="3" t="s">
        <v>357</v>
      </c>
      <c r="E3" s="3" t="s">
        <v>358</v>
      </c>
      <c r="F3" s="3" t="s">
        <v>359</v>
      </c>
      <c r="G3" s="3" t="s">
        <v>360</v>
      </c>
      <c r="H3" s="3" t="s">
        <v>361</v>
      </c>
      <c r="I3" s="3" t="s">
        <v>16</v>
      </c>
    </row>
    <row r="4" spans="1:9" x14ac:dyDescent="0.25">
      <c r="A4" s="4" t="s">
        <v>2</v>
      </c>
      <c r="B4" s="4" t="s">
        <v>2</v>
      </c>
      <c r="C4" s="4" t="s">
        <v>2</v>
      </c>
      <c r="D4" s="4" t="s">
        <v>2</v>
      </c>
      <c r="E4" s="4" t="s">
        <v>42</v>
      </c>
      <c r="F4" s="4" t="s">
        <v>2</v>
      </c>
      <c r="G4" s="4" t="s">
        <v>2</v>
      </c>
      <c r="H4" s="4" t="s">
        <v>2</v>
      </c>
      <c r="I4" s="4"/>
    </row>
    <row r="5" spans="1:9" x14ac:dyDescent="0.25">
      <c r="A5" s="4" t="s">
        <v>2</v>
      </c>
      <c r="B5" s="4" t="s">
        <v>2</v>
      </c>
      <c r="C5" s="4" t="s">
        <v>2</v>
      </c>
      <c r="D5" s="4" t="s">
        <v>2</v>
      </c>
      <c r="E5" s="4" t="s">
        <v>42</v>
      </c>
      <c r="F5" s="4" t="s">
        <v>2</v>
      </c>
      <c r="G5" s="4" t="s">
        <v>2</v>
      </c>
      <c r="H5" s="4" t="s">
        <v>2</v>
      </c>
      <c r="I5" s="4"/>
    </row>
    <row r="6" spans="1:9" x14ac:dyDescent="0.25">
      <c r="A6" s="4" t="s">
        <v>2</v>
      </c>
      <c r="B6" s="4" t="s">
        <v>2</v>
      </c>
      <c r="C6" s="4" t="s">
        <v>2</v>
      </c>
      <c r="D6" s="4" t="s">
        <v>2</v>
      </c>
      <c r="E6" s="4" t="s">
        <v>42</v>
      </c>
      <c r="F6" s="4" t="s">
        <v>2</v>
      </c>
      <c r="G6" s="4" t="s">
        <v>2</v>
      </c>
      <c r="H6" s="4" t="s">
        <v>2</v>
      </c>
      <c r="I6" s="4"/>
    </row>
    <row r="7" spans="1:9" x14ac:dyDescent="0.25">
      <c r="A7" s="4" t="s">
        <v>2</v>
      </c>
      <c r="B7" s="4" t="s">
        <v>2</v>
      </c>
      <c r="C7" s="4" t="s">
        <v>2</v>
      </c>
      <c r="D7" s="4" t="s">
        <v>2</v>
      </c>
      <c r="E7" s="4" t="s">
        <v>42</v>
      </c>
      <c r="F7" s="4" t="s">
        <v>2</v>
      </c>
      <c r="G7" s="4" t="s">
        <v>2</v>
      </c>
      <c r="H7" s="4" t="s">
        <v>2</v>
      </c>
      <c r="I7" s="4"/>
    </row>
    <row r="8" spans="1:9" x14ac:dyDescent="0.25">
      <c r="A8" s="4" t="s">
        <v>2</v>
      </c>
      <c r="B8" s="4" t="s">
        <v>2</v>
      </c>
      <c r="C8" s="4" t="s">
        <v>2</v>
      </c>
      <c r="D8" s="4" t="s">
        <v>2</v>
      </c>
      <c r="E8" s="4" t="s">
        <v>42</v>
      </c>
      <c r="F8" s="4" t="s">
        <v>2</v>
      </c>
      <c r="G8" s="4" t="s">
        <v>2</v>
      </c>
      <c r="H8" s="4" t="s">
        <v>2</v>
      </c>
      <c r="I8" s="4"/>
    </row>
    <row r="9" spans="1:9" x14ac:dyDescent="0.25">
      <c r="A9" s="4" t="s">
        <v>2</v>
      </c>
      <c r="B9" s="4" t="s">
        <v>2</v>
      </c>
      <c r="C9" s="4" t="s">
        <v>2</v>
      </c>
      <c r="D9" s="4" t="s">
        <v>2</v>
      </c>
      <c r="E9" s="4" t="s">
        <v>42</v>
      </c>
      <c r="F9" s="4" t="s">
        <v>2</v>
      </c>
      <c r="G9" s="4" t="s">
        <v>2</v>
      </c>
      <c r="H9" s="4" t="s">
        <v>2</v>
      </c>
      <c r="I9" s="4"/>
    </row>
    <row r="10" spans="1:9" x14ac:dyDescent="0.25">
      <c r="A10" s="4" t="s">
        <v>2</v>
      </c>
      <c r="B10" s="4" t="s">
        <v>2</v>
      </c>
      <c r="C10" s="4" t="s">
        <v>2</v>
      </c>
      <c r="D10" s="4" t="s">
        <v>2</v>
      </c>
      <c r="E10" s="4" t="s">
        <v>42</v>
      </c>
      <c r="F10" s="4" t="s">
        <v>2</v>
      </c>
      <c r="G10" s="4" t="s">
        <v>2</v>
      </c>
      <c r="H10" s="4" t="s">
        <v>2</v>
      </c>
      <c r="I10" s="4"/>
    </row>
    <row r="11" spans="1:9" x14ac:dyDescent="0.25">
      <c r="A11" s="4" t="s">
        <v>2</v>
      </c>
      <c r="B11" s="4" t="s">
        <v>2</v>
      </c>
      <c r="C11" s="4" t="s">
        <v>2</v>
      </c>
      <c r="D11" s="4" t="s">
        <v>2</v>
      </c>
      <c r="E11" s="4" t="s">
        <v>42</v>
      </c>
      <c r="F11" s="4" t="s">
        <v>2</v>
      </c>
      <c r="G11" s="4" t="s">
        <v>2</v>
      </c>
      <c r="H11" s="4" t="s">
        <v>2</v>
      </c>
      <c r="I11" s="4"/>
    </row>
    <row r="12" spans="1:9" x14ac:dyDescent="0.25">
      <c r="A12" s="4" t="s">
        <v>2</v>
      </c>
      <c r="B12" s="4" t="s">
        <v>2</v>
      </c>
      <c r="C12" s="4" t="s">
        <v>2</v>
      </c>
      <c r="D12" s="4" t="s">
        <v>2</v>
      </c>
      <c r="E12" s="4" t="s">
        <v>42</v>
      </c>
      <c r="F12" s="4" t="s">
        <v>2</v>
      </c>
      <c r="G12" s="4" t="s">
        <v>2</v>
      </c>
      <c r="H12" s="4" t="s">
        <v>2</v>
      </c>
      <c r="I12" s="4"/>
    </row>
    <row r="13" spans="1:9" x14ac:dyDescent="0.25">
      <c r="A13" s="4" t="s">
        <v>2</v>
      </c>
      <c r="B13" s="4" t="s">
        <v>2</v>
      </c>
      <c r="C13" s="4" t="s">
        <v>2</v>
      </c>
      <c r="D13" s="4" t="s">
        <v>2</v>
      </c>
      <c r="E13" s="4" t="s">
        <v>42</v>
      </c>
      <c r="F13" s="4" t="s">
        <v>2</v>
      </c>
      <c r="G13" s="4" t="s">
        <v>2</v>
      </c>
      <c r="H13" s="4" t="s">
        <v>2</v>
      </c>
      <c r="I13" s="4"/>
    </row>
    <row r="14" spans="1:9" x14ac:dyDescent="0.25">
      <c r="A14" s="4" t="s">
        <v>2</v>
      </c>
      <c r="B14" s="4" t="s">
        <v>2</v>
      </c>
      <c r="C14" s="4" t="s">
        <v>2</v>
      </c>
      <c r="D14" s="4" t="s">
        <v>2</v>
      </c>
      <c r="E14" s="4" t="s">
        <v>42</v>
      </c>
      <c r="F14" s="4" t="s">
        <v>2</v>
      </c>
      <c r="G14" s="4" t="s">
        <v>2</v>
      </c>
      <c r="H14" s="4" t="s">
        <v>2</v>
      </c>
      <c r="I14" s="4"/>
    </row>
    <row r="15" spans="1:9" x14ac:dyDescent="0.25">
      <c r="A15" s="4" t="s">
        <v>2</v>
      </c>
      <c r="B15" s="4" t="s">
        <v>2</v>
      </c>
      <c r="C15" s="4" t="s">
        <v>2</v>
      </c>
      <c r="D15" s="4" t="s">
        <v>2</v>
      </c>
      <c r="E15" s="4" t="s">
        <v>42</v>
      </c>
      <c r="F15" s="4" t="s">
        <v>2</v>
      </c>
      <c r="G15" s="4" t="s">
        <v>2</v>
      </c>
      <c r="H15" s="4" t="s">
        <v>2</v>
      </c>
      <c r="I15" s="4"/>
    </row>
    <row r="16" spans="1:9" x14ac:dyDescent="0.25">
      <c r="A16" s="4" t="s">
        <v>2</v>
      </c>
      <c r="B16" s="4" t="s">
        <v>2</v>
      </c>
      <c r="C16" s="4" t="s">
        <v>2</v>
      </c>
      <c r="D16" s="4" t="s">
        <v>2</v>
      </c>
      <c r="E16" s="4" t="s">
        <v>42</v>
      </c>
      <c r="F16" s="4" t="s">
        <v>2</v>
      </c>
      <c r="G16" s="4" t="s">
        <v>2</v>
      </c>
      <c r="H16" s="4" t="s">
        <v>2</v>
      </c>
      <c r="I16" s="4"/>
    </row>
    <row r="17" spans="1:9" x14ac:dyDescent="0.25">
      <c r="A17" s="4" t="s">
        <v>2</v>
      </c>
      <c r="B17" s="4" t="s">
        <v>2</v>
      </c>
      <c r="C17" s="4" t="s">
        <v>2</v>
      </c>
      <c r="D17" s="4" t="s">
        <v>2</v>
      </c>
      <c r="E17" s="4" t="s">
        <v>42</v>
      </c>
      <c r="F17" s="4" t="s">
        <v>2</v>
      </c>
      <c r="G17" s="4" t="s">
        <v>2</v>
      </c>
      <c r="H17" s="4" t="s">
        <v>2</v>
      </c>
      <c r="I17" s="4"/>
    </row>
    <row r="18" spans="1:9" x14ac:dyDescent="0.25">
      <c r="A18" s="4" t="s">
        <v>2</v>
      </c>
      <c r="B18" s="4" t="s">
        <v>2</v>
      </c>
      <c r="C18" s="4" t="s">
        <v>2</v>
      </c>
      <c r="D18" s="4" t="s">
        <v>2</v>
      </c>
      <c r="E18" s="4" t="s">
        <v>42</v>
      </c>
      <c r="F18" s="4" t="s">
        <v>2</v>
      </c>
      <c r="G18" s="4" t="s">
        <v>2</v>
      </c>
      <c r="H18" s="4" t="s">
        <v>2</v>
      </c>
      <c r="I18" s="4"/>
    </row>
  </sheetData>
  <mergeCells count="1">
    <mergeCell ref="A1:I1"/>
  </mergeCells>
  <dataValidations count="1">
    <dataValidation type="list" sqref="E4:E18" xr:uid="{00000000-0002-0000-0500-000000000000}">
      <formula1>"SI,NO,NO APLICA"</formula1>
    </dataValidation>
  </dataValidations>
  <pageMargins left="0.3" right="0.3" top="0.5" bottom="0.5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37"/>
  <sheetViews>
    <sheetView showGridLines="0" workbookViewId="0">
      <selection activeCell="B3" sqref="B3"/>
    </sheetView>
  </sheetViews>
  <sheetFormatPr baseColWidth="10" defaultColWidth="9.140625" defaultRowHeight="15" x14ac:dyDescent="0.25"/>
  <cols>
    <col min="1" max="8" width="24" customWidth="1"/>
  </cols>
  <sheetData>
    <row r="1" spans="1:8" ht="30" customHeight="1" x14ac:dyDescent="0.25">
      <c r="A1" s="8" t="s">
        <v>362</v>
      </c>
      <c r="B1" s="9"/>
      <c r="C1" s="9"/>
      <c r="D1" s="9"/>
      <c r="E1" s="9"/>
      <c r="F1" s="9"/>
      <c r="G1" s="9"/>
      <c r="H1" s="9"/>
    </row>
    <row r="3" spans="1:8" x14ac:dyDescent="0.25">
      <c r="A3" s="1" t="s">
        <v>1</v>
      </c>
      <c r="B3" s="2" t="s">
        <v>2</v>
      </c>
    </row>
    <row r="4" spans="1:8" x14ac:dyDescent="0.25">
      <c r="A4" s="1" t="s">
        <v>3</v>
      </c>
      <c r="B4" s="2" t="s">
        <v>2</v>
      </c>
    </row>
    <row r="5" spans="1:8" x14ac:dyDescent="0.25">
      <c r="A5" s="1" t="s">
        <v>363</v>
      </c>
      <c r="B5" s="2" t="s">
        <v>2</v>
      </c>
    </row>
    <row r="6" spans="1:8" x14ac:dyDescent="0.25">
      <c r="A6" s="1" t="s">
        <v>359</v>
      </c>
      <c r="B6" s="2" t="s">
        <v>2</v>
      </c>
    </row>
    <row r="7" spans="1:8" x14ac:dyDescent="0.25">
      <c r="A7" s="1" t="s">
        <v>364</v>
      </c>
      <c r="B7" s="2" t="s">
        <v>2</v>
      </c>
    </row>
    <row r="8" spans="1:8" x14ac:dyDescent="0.25">
      <c r="A8" s="1" t="s">
        <v>5</v>
      </c>
      <c r="B8" s="2" t="s">
        <v>2</v>
      </c>
    </row>
    <row r="9" spans="1:8" x14ac:dyDescent="0.25">
      <c r="A9" s="1" t="s">
        <v>365</v>
      </c>
      <c r="B9" s="2" t="s">
        <v>2</v>
      </c>
    </row>
    <row r="10" spans="1:8" x14ac:dyDescent="0.25">
      <c r="A10" s="1" t="s">
        <v>366</v>
      </c>
      <c r="B10" s="2" t="s">
        <v>2</v>
      </c>
    </row>
    <row r="12" spans="1:8" x14ac:dyDescent="0.25">
      <c r="A12" s="10" t="s">
        <v>367</v>
      </c>
      <c r="B12" s="9"/>
      <c r="C12" s="9"/>
      <c r="D12" s="9"/>
      <c r="E12" s="9"/>
      <c r="F12" s="9"/>
      <c r="G12" s="9"/>
      <c r="H12" s="9"/>
    </row>
    <row r="13" spans="1:8" x14ac:dyDescent="0.25">
      <c r="A13" s="11" t="s">
        <v>368</v>
      </c>
      <c r="B13" s="9"/>
      <c r="C13" s="9"/>
      <c r="D13" s="9"/>
      <c r="E13" s="9"/>
      <c r="F13" s="9"/>
      <c r="G13" s="9"/>
      <c r="H13" s="9"/>
    </row>
    <row r="14" spans="1:8" x14ac:dyDescent="0.25">
      <c r="A14" s="9"/>
      <c r="B14" s="9"/>
      <c r="C14" s="9"/>
      <c r="D14" s="9"/>
      <c r="E14" s="9"/>
      <c r="F14" s="9"/>
      <c r="G14" s="9"/>
      <c r="H14" s="9"/>
    </row>
    <row r="16" spans="1:8" x14ac:dyDescent="0.25">
      <c r="A16" s="10" t="s">
        <v>369</v>
      </c>
      <c r="B16" s="9"/>
      <c r="C16" s="9"/>
      <c r="D16" s="9"/>
      <c r="E16" s="9"/>
      <c r="F16" s="9"/>
      <c r="G16" s="9"/>
      <c r="H16" s="9"/>
    </row>
    <row r="17" spans="1:8" x14ac:dyDescent="0.25">
      <c r="A17" s="11" t="s">
        <v>370</v>
      </c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20" spans="1:8" x14ac:dyDescent="0.25">
      <c r="A20" s="10" t="s">
        <v>371</v>
      </c>
      <c r="B20" s="9"/>
      <c r="C20" s="9"/>
      <c r="D20" s="9"/>
      <c r="E20" s="9"/>
      <c r="F20" s="9"/>
      <c r="G20" s="9"/>
      <c r="H20" s="9"/>
    </row>
    <row r="21" spans="1:8" x14ac:dyDescent="0.25">
      <c r="A21" s="11" t="s">
        <v>372</v>
      </c>
      <c r="B21" s="9"/>
      <c r="C21" s="9"/>
      <c r="D21" s="9"/>
      <c r="E21" s="9"/>
      <c r="F21" s="9"/>
      <c r="G21" s="9"/>
      <c r="H21" s="9"/>
    </row>
    <row r="22" spans="1:8" x14ac:dyDescent="0.25">
      <c r="A22" s="9"/>
      <c r="B22" s="9"/>
      <c r="C22" s="9"/>
      <c r="D22" s="9"/>
      <c r="E22" s="9"/>
      <c r="F22" s="9"/>
      <c r="G22" s="9"/>
      <c r="H22" s="9"/>
    </row>
    <row r="24" spans="1:8" x14ac:dyDescent="0.25">
      <c r="A24" s="10" t="s">
        <v>373</v>
      </c>
      <c r="B24" s="9"/>
      <c r="C24" s="9"/>
      <c r="D24" s="9"/>
      <c r="E24" s="9"/>
      <c r="F24" s="9"/>
      <c r="G24" s="9"/>
      <c r="H24" s="9"/>
    </row>
    <row r="25" spans="1:8" x14ac:dyDescent="0.25">
      <c r="A25" s="11" t="s">
        <v>374</v>
      </c>
      <c r="B25" s="9"/>
      <c r="C25" s="9"/>
      <c r="D25" s="9"/>
      <c r="E25" s="9"/>
      <c r="F25" s="9"/>
      <c r="G25" s="9"/>
      <c r="H25" s="9"/>
    </row>
    <row r="26" spans="1:8" x14ac:dyDescent="0.25">
      <c r="A26" s="9"/>
      <c r="B26" s="9"/>
      <c r="C26" s="9"/>
      <c r="D26" s="9"/>
      <c r="E26" s="9"/>
      <c r="F26" s="9"/>
      <c r="G26" s="9"/>
      <c r="H26" s="9"/>
    </row>
    <row r="28" spans="1:8" x14ac:dyDescent="0.25">
      <c r="A28" s="10" t="s">
        <v>375</v>
      </c>
      <c r="B28" s="9"/>
      <c r="C28" s="9"/>
      <c r="D28" s="9"/>
      <c r="E28" s="9"/>
      <c r="F28" s="9"/>
      <c r="G28" s="9"/>
      <c r="H28" s="9"/>
    </row>
    <row r="29" spans="1:8" x14ac:dyDescent="0.25">
      <c r="A29" s="11" t="s">
        <v>376</v>
      </c>
      <c r="B29" s="9"/>
      <c r="C29" s="9"/>
      <c r="D29" s="9"/>
      <c r="E29" s="9"/>
      <c r="F29" s="9"/>
      <c r="G29" s="9"/>
      <c r="H29" s="9"/>
    </row>
    <row r="30" spans="1:8" x14ac:dyDescent="0.25">
      <c r="A30" s="9"/>
      <c r="B30" s="9"/>
      <c r="C30" s="9"/>
      <c r="D30" s="9"/>
      <c r="E30" s="9"/>
      <c r="F30" s="9"/>
      <c r="G30" s="9"/>
      <c r="H30" s="9"/>
    </row>
    <row r="33" spans="1:5" ht="15.75" x14ac:dyDescent="0.25">
      <c r="A33" s="6" t="s">
        <v>377</v>
      </c>
    </row>
    <row r="34" spans="1:5" x14ac:dyDescent="0.25">
      <c r="A34" s="7" t="s">
        <v>364</v>
      </c>
      <c r="C34" s="7" t="s">
        <v>5</v>
      </c>
      <c r="E34" s="7" t="s">
        <v>378</v>
      </c>
    </row>
    <row r="36" spans="1:5" x14ac:dyDescent="0.25">
      <c r="A36" t="s">
        <v>379</v>
      </c>
      <c r="C36" t="s">
        <v>379</v>
      </c>
      <c r="E36" t="s">
        <v>379</v>
      </c>
    </row>
    <row r="37" spans="1:5" x14ac:dyDescent="0.25">
      <c r="A37" t="s">
        <v>380</v>
      </c>
      <c r="C37" t="s">
        <v>380</v>
      </c>
      <c r="E37" t="s">
        <v>380</v>
      </c>
    </row>
  </sheetData>
  <mergeCells count="11">
    <mergeCell ref="A29:H30"/>
    <mergeCell ref="A28:H28"/>
    <mergeCell ref="A1:H1"/>
    <mergeCell ref="A21:H22"/>
    <mergeCell ref="A12:H12"/>
    <mergeCell ref="A17:H18"/>
    <mergeCell ref="A13:H14"/>
    <mergeCell ref="A25:H26"/>
    <mergeCell ref="A20:H20"/>
    <mergeCell ref="A24:H24"/>
    <mergeCell ref="A16:H16"/>
  </mergeCells>
  <pageMargins left="0.3" right="0.3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Control General</vt:lpstr>
      <vt:lpstr>Checklist Detallado</vt:lpstr>
      <vt:lpstr>Impuestos</vt:lpstr>
      <vt:lpstr>Conciliaciones</vt:lpstr>
      <vt:lpstr>Pendientes y Riesgos</vt:lpstr>
      <vt:lpstr>Sistemas y Accesos</vt:lpstr>
      <vt:lpstr>Acta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 DANIEL PACHECO PEÑA</cp:lastModifiedBy>
  <dcterms:created xsi:type="dcterms:W3CDTF">2026-08-27T04:07:58Z</dcterms:created>
  <dcterms:modified xsi:type="dcterms:W3CDTF">2026-08-27T04:21:23Z</dcterms:modified>
</cp:coreProperties>
</file>